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总表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微软雅黑"/>
      <b val="1"/>
      <color rgb="003A2C17"/>
      <sz val="15"/>
    </font>
    <font>
      <name val="微软雅黑"/>
      <color rgb="00808080"/>
      <sz val="9.5"/>
    </font>
    <font>
      <name val="微软雅黑"/>
      <b val="1"/>
      <color rgb="00FFFFFF"/>
      <sz val="10.5"/>
    </font>
    <font>
      <name val="微软雅黑"/>
      <b val="1"/>
      <color rgb="005A4326"/>
      <sz val="11"/>
    </font>
    <font>
      <name val="微软雅黑"/>
      <color rgb="00333333"/>
      <sz val="10"/>
    </font>
    <font>
      <name val="微软雅黑"/>
      <b val="1"/>
      <color rgb="005A4326"/>
      <sz val="10.5"/>
    </font>
    <font>
      <name val="微软雅黑"/>
      <b val="1"/>
      <color rgb="003A2C17"/>
      <sz val="14"/>
    </font>
    <font>
      <name val="微软雅黑"/>
      <b val="1"/>
      <color rgb="005A4326"/>
      <sz val="11.5"/>
    </font>
    <font>
      <name val="微软雅黑"/>
      <color rgb="00333333"/>
      <sz val="10.5"/>
    </font>
  </fonts>
  <fills count="5">
    <fill>
      <patternFill/>
    </fill>
    <fill>
      <patternFill patternType="gray125"/>
    </fill>
    <fill>
      <patternFill patternType="solid">
        <fgColor rgb="006B4F2E"/>
      </patternFill>
    </fill>
    <fill>
      <patternFill patternType="solid">
        <fgColor rgb="00E8DCC8"/>
      </patternFill>
    </fill>
    <fill>
      <patternFill patternType="solid">
        <fgColor rgb="00F4EEE2"/>
      </patternFill>
    </fill>
  </fills>
  <borders count="2">
    <border>
      <left/>
      <right/>
      <top/>
      <bottom/>
      <diagonal/>
    </border>
    <border>
      <left style="thin">
        <color rgb="00C9BCA3"/>
      </left>
      <right style="thin">
        <color rgb="00C9BCA3"/>
      </right>
      <top style="thin">
        <color rgb="00C9BCA3"/>
      </top>
      <bottom style="thin">
        <color rgb="00C9BCA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0" fillId="0" borderId="0" pivotButton="0" quotePrefix="0" xfId="0"/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6" fillId="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0" fillId="3" borderId="1" pivotButton="0" quotePrefix="0" xfId="0"/>
    <xf numFmtId="3" fontId="6" fillId="3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30" customWidth="1" min="4" max="4"/>
    <col width="6" customWidth="1" min="5" max="5"/>
    <col width="8" customWidth="1" min="6" max="6"/>
    <col width="10" customWidth="1" min="7" max="7"/>
    <col width="10" customWidth="1" min="8" max="8"/>
    <col width="11" customWidth="1" min="9" max="9"/>
    <col width="11" customWidth="1" min="10" max="10"/>
    <col width="22" customWidth="1" min="11" max="11"/>
  </cols>
  <sheetData>
    <row r="1" ht="30" customHeight="1">
      <c r="A1" s="1" t="inlineStr">
        <is>
          <t>全屋装修预算清单（原木风 · 保定中档口径）</t>
        </is>
      </c>
    </row>
    <row r="2">
      <c r="A2" s="2" t="inlineStr">
        <is>
          <t>编制日期：2026-09-22　建筑面积约232㎡（套内）　价格为参考区间，最终以实际报价为准</t>
        </is>
      </c>
    </row>
    <row r="3" ht="26" customHeight="1">
      <c r="A3" s="3" t="inlineStr">
        <is>
          <t>楼层</t>
        </is>
      </c>
      <c r="B3" s="3" t="inlineStr">
        <is>
          <t>房间</t>
        </is>
      </c>
      <c r="C3" s="3" t="inlineStr">
        <is>
          <t>科目</t>
        </is>
      </c>
      <c r="D3" s="3" t="inlineStr">
        <is>
          <t>项目说明</t>
        </is>
      </c>
      <c r="E3" s="3" t="inlineStr">
        <is>
          <t>单位</t>
        </is>
      </c>
      <c r="F3" s="3" t="inlineStr">
        <is>
          <t>工程量</t>
        </is>
      </c>
      <c r="G3" s="3" t="inlineStr">
        <is>
          <t>单价低(元)</t>
        </is>
      </c>
      <c r="H3" s="3" t="inlineStr">
        <is>
          <t>单价高(元)</t>
        </is>
      </c>
      <c r="I3" s="3" t="inlineStr">
        <is>
          <t>合价低(元)</t>
        </is>
      </c>
      <c r="J3" s="3" t="inlineStr">
        <is>
          <t>合价高(元)</t>
        </is>
      </c>
      <c r="K3" s="3" t="inlineStr">
        <is>
          <t>备注</t>
        </is>
      </c>
    </row>
    <row r="4">
      <c r="A4" s="4" t="inlineStr">
        <is>
          <t>▼ B1 车库层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6" t="inlineStr">
        <is>
          <t>B1 车库层</t>
        </is>
      </c>
      <c r="B5" s="6" t="inlineStr">
        <is>
          <t>车库</t>
        </is>
      </c>
      <c r="C5" s="6" t="inlineStr">
        <is>
          <t>拆改</t>
        </is>
      </c>
      <c r="D5" s="7" t="inlineStr">
        <is>
          <t>墙面基层清理/界面剂</t>
        </is>
      </c>
      <c r="E5" s="6" t="inlineStr">
        <is>
          <t>㎡</t>
        </is>
      </c>
      <c r="F5" s="8" t="n">
        <v>116</v>
      </c>
      <c r="G5" s="9" t="n">
        <v>4</v>
      </c>
      <c r="H5" s="9" t="n">
        <v>8</v>
      </c>
      <c r="I5" s="9">
        <f>ROUND(F5*G5,0)</f>
        <v/>
      </c>
      <c r="J5" s="10">
        <f>ROUND(F5*H5,0)</f>
        <v/>
      </c>
    </row>
    <row r="6">
      <c r="A6" s="6" t="inlineStr">
        <is>
          <t>B1 车库层</t>
        </is>
      </c>
      <c r="B6" s="6" t="inlineStr">
        <is>
          <t>车库</t>
        </is>
      </c>
      <c r="C6" s="6" t="inlineStr">
        <is>
          <t>水电</t>
        </is>
      </c>
      <c r="D6" s="7" t="inlineStr">
        <is>
          <t>照明及充电桩线路（人工+辅材）</t>
        </is>
      </c>
      <c r="E6" s="6" t="inlineStr">
        <is>
          <t>项</t>
        </is>
      </c>
      <c r="F6" s="8" t="n">
        <v>1</v>
      </c>
      <c r="G6" s="9" t="n">
        <v>1200</v>
      </c>
      <c r="H6" s="9" t="n">
        <v>2800</v>
      </c>
      <c r="I6" s="9">
        <f>ROUND(F6*G6,0)</f>
        <v/>
      </c>
      <c r="J6" s="10">
        <f>ROUND(F6*H6,0)</f>
        <v/>
      </c>
    </row>
    <row r="7">
      <c r="A7" s="6" t="inlineStr">
        <is>
          <t>B1 车库层</t>
        </is>
      </c>
      <c r="B7" s="6" t="inlineStr">
        <is>
          <t>车库</t>
        </is>
      </c>
      <c r="C7" s="6" t="inlineStr">
        <is>
          <t>泥瓦</t>
        </is>
      </c>
      <c r="D7" s="7" t="inlineStr">
        <is>
          <t>地面找平+耐磨地坪漆</t>
        </is>
      </c>
      <c r="E7" s="6" t="inlineStr">
        <is>
          <t>㎡</t>
        </is>
      </c>
      <c r="F7" s="8" t="n">
        <v>27</v>
      </c>
      <c r="G7" s="9" t="n">
        <v>45</v>
      </c>
      <c r="H7" s="9" t="n">
        <v>85</v>
      </c>
      <c r="I7" s="9">
        <f>ROUND(F7*G7,0)</f>
        <v/>
      </c>
      <c r="J7" s="10">
        <f>ROUND(F7*H7,0)</f>
        <v/>
      </c>
    </row>
    <row r="8">
      <c r="A8" s="6" t="inlineStr">
        <is>
          <t>B1 车库层</t>
        </is>
      </c>
      <c r="B8" s="6" t="inlineStr">
        <is>
          <t>车库</t>
        </is>
      </c>
      <c r="C8" s="6" t="inlineStr">
        <is>
          <t>泥瓦</t>
        </is>
      </c>
      <c r="D8" s="7" t="inlineStr">
        <is>
          <t>排水沟/集水井（含盖板）</t>
        </is>
      </c>
      <c r="E8" s="6" t="inlineStr">
        <is>
          <t>项</t>
        </is>
      </c>
      <c r="F8" s="8" t="n">
        <v>1</v>
      </c>
      <c r="G8" s="9" t="n">
        <v>800</v>
      </c>
      <c r="H8" s="9" t="n">
        <v>1800</v>
      </c>
      <c r="I8" s="9">
        <f>ROUND(F8*G8,0)</f>
        <v/>
      </c>
      <c r="J8" s="10">
        <f>ROUND(F8*H8,0)</f>
        <v/>
      </c>
    </row>
    <row r="9">
      <c r="A9" s="6" t="inlineStr">
        <is>
          <t>B1 车库层</t>
        </is>
      </c>
      <c r="B9" s="6" t="inlineStr">
        <is>
          <t>车库</t>
        </is>
      </c>
      <c r="C9" s="6" t="inlineStr">
        <is>
          <t>油漆</t>
        </is>
      </c>
      <c r="D9" s="7" t="inlineStr">
        <is>
          <t>墙面/顶面防霉乳胶漆（通高约5.8m）</t>
        </is>
      </c>
      <c r="E9" s="6" t="inlineStr">
        <is>
          <t>㎡</t>
        </is>
      </c>
      <c r="F9" s="8" t="n">
        <v>143</v>
      </c>
      <c r="G9" s="9" t="n">
        <v>28</v>
      </c>
      <c r="H9" s="9" t="n">
        <v>45</v>
      </c>
      <c r="I9" s="9">
        <f>ROUND(F9*G9,0)</f>
        <v/>
      </c>
      <c r="J9" s="10">
        <f>ROUND(F9*H9,0)</f>
        <v/>
      </c>
    </row>
    <row r="10">
      <c r="A10" s="6" t="inlineStr">
        <is>
          <t>B1 车库层</t>
        </is>
      </c>
      <c r="B10" s="6" t="inlineStr">
        <is>
          <t>车库</t>
        </is>
      </c>
      <c r="C10" s="6" t="inlineStr">
        <is>
          <t>主材安装</t>
        </is>
      </c>
      <c r="D10" s="7" t="inlineStr">
        <is>
          <t>车库卷帘门（含电机安装）</t>
        </is>
      </c>
      <c r="E10" s="6" t="inlineStr">
        <is>
          <t>樘</t>
        </is>
      </c>
      <c r="F10" s="8" t="n">
        <v>1</v>
      </c>
      <c r="G10" s="9" t="n">
        <v>2500</v>
      </c>
      <c r="H10" s="9" t="n">
        <v>6000</v>
      </c>
      <c r="I10" s="9">
        <f>ROUND(F10*G10,0)</f>
        <v/>
      </c>
      <c r="J10" s="10">
        <f>ROUND(F10*H10,0)</f>
        <v/>
      </c>
    </row>
    <row r="11">
      <c r="A11" s="6" t="inlineStr">
        <is>
          <t>B1 车库层</t>
        </is>
      </c>
      <c r="B11" s="6" t="inlineStr">
        <is>
          <t>工具间</t>
        </is>
      </c>
      <c r="C11" s="6" t="inlineStr">
        <is>
          <t>水电</t>
        </is>
      </c>
      <c r="D11" s="7" t="inlineStr">
        <is>
          <t>照明/插座线路（人工+辅材）</t>
        </is>
      </c>
      <c r="E11" s="6" t="inlineStr">
        <is>
          <t>项</t>
        </is>
      </c>
      <c r="F11" s="8" t="n">
        <v>1</v>
      </c>
      <c r="G11" s="9" t="n">
        <v>800</v>
      </c>
      <c r="H11" s="9" t="n">
        <v>1800</v>
      </c>
      <c r="I11" s="9">
        <f>ROUND(F11*G11,0)</f>
        <v/>
      </c>
      <c r="J11" s="10">
        <f>ROUND(F11*H11,0)</f>
        <v/>
      </c>
    </row>
    <row r="12">
      <c r="A12" s="6" t="inlineStr">
        <is>
          <t>B1 车库层</t>
        </is>
      </c>
      <c r="B12" s="6" t="inlineStr">
        <is>
          <t>工具间</t>
        </is>
      </c>
      <c r="C12" s="6" t="inlineStr">
        <is>
          <t>泥瓦</t>
        </is>
      </c>
      <c r="D12" s="7" t="inlineStr">
        <is>
          <t>地面找平+地坪漆</t>
        </is>
      </c>
      <c r="E12" s="6" t="inlineStr">
        <is>
          <t>㎡</t>
        </is>
      </c>
      <c r="F12" s="8" t="n">
        <v>18</v>
      </c>
      <c r="G12" s="9" t="n">
        <v>45</v>
      </c>
      <c r="H12" s="9" t="n">
        <v>85</v>
      </c>
      <c r="I12" s="9">
        <f>ROUND(F12*G12,0)</f>
        <v/>
      </c>
      <c r="J12" s="10">
        <f>ROUND(F12*H12,0)</f>
        <v/>
      </c>
    </row>
    <row r="13">
      <c r="A13" s="6" t="inlineStr">
        <is>
          <t>B1 车库层</t>
        </is>
      </c>
      <c r="B13" s="6" t="inlineStr">
        <is>
          <t>工具间</t>
        </is>
      </c>
      <c r="C13" s="6" t="inlineStr">
        <is>
          <t>油漆</t>
        </is>
      </c>
      <c r="D13" s="7" t="inlineStr">
        <is>
          <t>墙顶防霉乳胶漆（通高）</t>
        </is>
      </c>
      <c r="E13" s="6" t="inlineStr">
        <is>
          <t>㎡</t>
        </is>
      </c>
      <c r="F13" s="8" t="n">
        <v>122</v>
      </c>
      <c r="G13" s="9" t="n">
        <v>28</v>
      </c>
      <c r="H13" s="9" t="n">
        <v>45</v>
      </c>
      <c r="I13" s="9">
        <f>ROUND(F13*G13,0)</f>
        <v/>
      </c>
      <c r="J13" s="10">
        <f>ROUND(F13*H13,0)</f>
        <v/>
      </c>
    </row>
    <row r="14">
      <c r="A14" s="6" t="inlineStr">
        <is>
          <t>B1 车库层</t>
        </is>
      </c>
      <c r="B14" s="6" t="inlineStr">
        <is>
          <t>工具间</t>
        </is>
      </c>
      <c r="C14" s="6" t="inlineStr">
        <is>
          <t>木工</t>
        </is>
      </c>
      <c r="D14" s="7" t="inlineStr">
        <is>
          <t>简易工作台（现场制作）</t>
        </is>
      </c>
      <c r="E14" s="6" t="inlineStr">
        <is>
          <t>项</t>
        </is>
      </c>
      <c r="F14" s="8" t="n">
        <v>1</v>
      </c>
      <c r="G14" s="9" t="n">
        <v>600</v>
      </c>
      <c r="H14" s="9" t="n">
        <v>1500</v>
      </c>
      <c r="I14" s="9">
        <f>ROUND(F14*G14,0)</f>
        <v/>
      </c>
      <c r="J14" s="10">
        <f>ROUND(F14*H14,0)</f>
        <v/>
      </c>
    </row>
    <row r="15">
      <c r="A15" s="6" t="inlineStr">
        <is>
          <t>B1 车库层</t>
        </is>
      </c>
      <c r="B15" s="6" t="inlineStr">
        <is>
          <t>储藏/设备间</t>
        </is>
      </c>
      <c r="C15" s="6" t="inlineStr">
        <is>
          <t>水电</t>
        </is>
      </c>
      <c r="D15" s="7" t="inlineStr">
        <is>
          <t>照明/插座线路（人工+辅材）</t>
        </is>
      </c>
      <c r="E15" s="6" t="inlineStr">
        <is>
          <t>项</t>
        </is>
      </c>
      <c r="F15" s="8" t="n">
        <v>1</v>
      </c>
      <c r="G15" s="9" t="n">
        <v>800</v>
      </c>
      <c r="H15" s="9" t="n">
        <v>1800</v>
      </c>
      <c r="I15" s="9">
        <f>ROUND(F15*G15,0)</f>
        <v/>
      </c>
      <c r="J15" s="10">
        <f>ROUND(F15*H15,0)</f>
        <v/>
      </c>
    </row>
    <row r="16">
      <c r="A16" s="6" t="inlineStr">
        <is>
          <t>B1 车库层</t>
        </is>
      </c>
      <c r="B16" s="6" t="inlineStr">
        <is>
          <t>储藏/设备间</t>
        </is>
      </c>
      <c r="C16" s="6" t="inlineStr">
        <is>
          <t>泥瓦</t>
        </is>
      </c>
      <c r="D16" s="7" t="inlineStr">
        <is>
          <t>地面找平+地坪漆</t>
        </is>
      </c>
      <c r="E16" s="6" t="inlineStr">
        <is>
          <t>㎡</t>
        </is>
      </c>
      <c r="F16" s="8" t="n">
        <v>19.8</v>
      </c>
      <c r="G16" s="9" t="n">
        <v>45</v>
      </c>
      <c r="H16" s="9" t="n">
        <v>85</v>
      </c>
      <c r="I16" s="9">
        <f>ROUND(F16*G16,0)</f>
        <v/>
      </c>
      <c r="J16" s="10">
        <f>ROUND(F16*H16,0)</f>
        <v/>
      </c>
    </row>
    <row r="17">
      <c r="A17" s="6" t="inlineStr">
        <is>
          <t>B1 车库层</t>
        </is>
      </c>
      <c r="B17" s="6" t="inlineStr">
        <is>
          <t>储藏/设备间</t>
        </is>
      </c>
      <c r="C17" s="6" t="inlineStr">
        <is>
          <t>油漆</t>
        </is>
      </c>
      <c r="D17" s="7" t="inlineStr">
        <is>
          <t>墙顶防霉乳胶漆（通高）</t>
        </is>
      </c>
      <c r="E17" s="6" t="inlineStr">
        <is>
          <t>㎡</t>
        </is>
      </c>
      <c r="F17" s="8" t="n">
        <v>128</v>
      </c>
      <c r="G17" s="9" t="n">
        <v>28</v>
      </c>
      <c r="H17" s="9" t="n">
        <v>45</v>
      </c>
      <c r="I17" s="9">
        <f>ROUND(F17*G17,0)</f>
        <v/>
      </c>
      <c r="J17" s="10">
        <f>ROUND(F17*H17,0)</f>
        <v/>
      </c>
    </row>
    <row r="18">
      <c r="A18" s="6" t="inlineStr">
        <is>
          <t>B1 车库层</t>
        </is>
      </c>
      <c r="B18" s="6" t="inlineStr">
        <is>
          <t>储藏/设备间</t>
        </is>
      </c>
      <c r="C18" s="6" t="inlineStr">
        <is>
          <t>主材安装</t>
        </is>
      </c>
      <c r="D18" s="7" t="inlineStr">
        <is>
          <t>成品储物货架（含安装）</t>
        </is>
      </c>
      <c r="E18" s="6" t="inlineStr">
        <is>
          <t>组</t>
        </is>
      </c>
      <c r="F18" s="8" t="n">
        <v>2</v>
      </c>
      <c r="G18" s="9" t="n">
        <v>600</v>
      </c>
      <c r="H18" s="9" t="n">
        <v>1500</v>
      </c>
      <c r="I18" s="9">
        <f>ROUND(F18*G18,0)</f>
        <v/>
      </c>
      <c r="J18" s="10">
        <f>ROUND(F18*H18,0)</f>
        <v/>
      </c>
    </row>
    <row r="19">
      <c r="A19" s="6" t="inlineStr">
        <is>
          <t>B1 车库层</t>
        </is>
      </c>
      <c r="B19" s="6" t="inlineStr">
        <is>
          <t>楼梯/公共</t>
        </is>
      </c>
      <c r="C19" s="6" t="inlineStr">
        <is>
          <t>油漆</t>
        </is>
      </c>
      <c r="D19" s="7" t="inlineStr">
        <is>
          <t>楼梯间墙顶乳胶漆</t>
        </is>
      </c>
      <c r="E19" s="6" t="inlineStr">
        <is>
          <t>㎡</t>
        </is>
      </c>
      <c r="F19" s="8" t="n">
        <v>80</v>
      </c>
      <c r="G19" s="9" t="n">
        <v>28</v>
      </c>
      <c r="H19" s="9" t="n">
        <v>45</v>
      </c>
      <c r="I19" s="9">
        <f>ROUND(F19*G19,0)</f>
        <v/>
      </c>
      <c r="J19" s="10">
        <f>ROUND(F19*H19,0)</f>
        <v/>
      </c>
    </row>
    <row r="20">
      <c r="A20" s="4" t="inlineStr">
        <is>
          <t>▼ F1 一层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6" t="inlineStr">
        <is>
          <t>F1 一层</t>
        </is>
      </c>
      <c r="B21" s="6" t="inlineStr">
        <is>
          <t>客厅</t>
        </is>
      </c>
      <c r="C21" s="6" t="inlineStr">
        <is>
          <t>拆改</t>
        </is>
      </c>
      <c r="D21" s="7" t="inlineStr">
        <is>
          <t>铲墙皮/界面处理</t>
        </is>
      </c>
      <c r="E21" s="6" t="inlineStr">
        <is>
          <t>㎡</t>
        </is>
      </c>
      <c r="F21" s="8" t="n">
        <v>51</v>
      </c>
      <c r="G21" s="9" t="n">
        <v>7</v>
      </c>
      <c r="H21" s="9" t="n">
        <v>16</v>
      </c>
      <c r="I21" s="9">
        <f>ROUND(F21*G21,0)</f>
        <v/>
      </c>
      <c r="J21" s="10">
        <f>ROUND(F21*H21,0)</f>
        <v/>
      </c>
    </row>
    <row r="22">
      <c r="A22" s="6" t="inlineStr">
        <is>
          <t>F1 一层</t>
        </is>
      </c>
      <c r="B22" s="6" t="inlineStr">
        <is>
          <t>客厅</t>
        </is>
      </c>
      <c r="C22" s="6" t="inlineStr">
        <is>
          <t>水电</t>
        </is>
      </c>
      <c r="D22" s="7" t="inlineStr">
        <is>
          <t>强弱电/插座点位（人工+辅材）</t>
        </is>
      </c>
      <c r="E22" s="6" t="inlineStr">
        <is>
          <t>㎡</t>
        </is>
      </c>
      <c r="F22" s="8" t="n">
        <v>23.2</v>
      </c>
      <c r="G22" s="9" t="n">
        <v>80</v>
      </c>
      <c r="H22" s="9" t="n">
        <v>120</v>
      </c>
      <c r="I22" s="9">
        <f>ROUND(F22*G22,0)</f>
        <v/>
      </c>
      <c r="J22" s="10">
        <f>ROUND(F22*H22,0)</f>
        <v/>
      </c>
    </row>
    <row r="23">
      <c r="A23" s="6" t="inlineStr">
        <is>
          <t>F1 一层</t>
        </is>
      </c>
      <c r="B23" s="6" t="inlineStr">
        <is>
          <t>客厅</t>
        </is>
      </c>
      <c r="C23" s="6" t="inlineStr">
        <is>
          <t>泥瓦</t>
        </is>
      </c>
      <c r="D23" s="7" t="inlineStr">
        <is>
          <t>地面找平</t>
        </is>
      </c>
      <c r="E23" s="6" t="inlineStr">
        <is>
          <t>㎡</t>
        </is>
      </c>
      <c r="F23" s="8" t="n">
        <v>23.2</v>
      </c>
      <c r="G23" s="9" t="n">
        <v>25</v>
      </c>
      <c r="H23" s="9" t="n">
        <v>40</v>
      </c>
      <c r="I23" s="9">
        <f>ROUND(F23*G23,0)</f>
        <v/>
      </c>
      <c r="J23" s="10">
        <f>ROUND(F23*H23,0)</f>
        <v/>
      </c>
    </row>
    <row r="24">
      <c r="A24" s="6" t="inlineStr">
        <is>
          <t>F1 一层</t>
        </is>
      </c>
      <c r="B24" s="6" t="inlineStr">
        <is>
          <t>客厅</t>
        </is>
      </c>
      <c r="C24" s="6" t="inlineStr">
        <is>
          <t>木工</t>
        </is>
      </c>
      <c r="D24" s="7" t="inlineStr">
        <is>
          <t>石膏板平顶+窗帘盒</t>
        </is>
      </c>
      <c r="E24" s="6" t="inlineStr">
        <is>
          <t>㎡</t>
        </is>
      </c>
      <c r="F24" s="8" t="n">
        <v>23.2</v>
      </c>
      <c r="G24" s="9" t="n">
        <v>100</v>
      </c>
      <c r="H24" s="9" t="n">
        <v>180</v>
      </c>
      <c r="I24" s="9">
        <f>ROUND(F24*G24,0)</f>
        <v/>
      </c>
      <c r="J24" s="10">
        <f>ROUND(F24*H24,0)</f>
        <v/>
      </c>
    </row>
    <row r="25">
      <c r="A25" s="6" t="inlineStr">
        <is>
          <t>F1 一层</t>
        </is>
      </c>
      <c r="B25" s="6" t="inlineStr">
        <is>
          <t>客厅</t>
        </is>
      </c>
      <c r="C25" s="6" t="inlineStr">
        <is>
          <t>油漆</t>
        </is>
      </c>
      <c r="D25" s="7" t="inlineStr">
        <is>
          <t>墙面腻子+乳胶漆</t>
        </is>
      </c>
      <c r="E25" s="6" t="inlineStr">
        <is>
          <t>㎡</t>
        </is>
      </c>
      <c r="F25" s="8" t="n">
        <v>51</v>
      </c>
      <c r="G25" s="9" t="n">
        <v>30</v>
      </c>
      <c r="H25" s="9" t="n">
        <v>45</v>
      </c>
      <c r="I25" s="9">
        <f>ROUND(F25*G25,0)</f>
        <v/>
      </c>
      <c r="J25" s="10">
        <f>ROUND(F25*H25,0)</f>
        <v/>
      </c>
    </row>
    <row r="26">
      <c r="A26" s="6" t="inlineStr">
        <is>
          <t>F1 一层</t>
        </is>
      </c>
      <c r="B26" s="6" t="inlineStr">
        <is>
          <t>客厅</t>
        </is>
      </c>
      <c r="C26" s="6" t="inlineStr">
        <is>
          <t>主材安装</t>
        </is>
      </c>
      <c r="D26" s="7" t="inlineStr">
        <is>
          <t>多层实木地板（原木色，含安装）</t>
        </is>
      </c>
      <c r="E26" s="6" t="inlineStr">
        <is>
          <t>㎡</t>
        </is>
      </c>
      <c r="F26" s="8" t="n">
        <v>24.4</v>
      </c>
      <c r="G26" s="9" t="n">
        <v>260</v>
      </c>
      <c r="H26" s="9" t="n">
        <v>450</v>
      </c>
      <c r="I26" s="9">
        <f>ROUND(F26*G26,0)</f>
        <v/>
      </c>
      <c r="J26" s="10">
        <f>ROUND(F26*H26,0)</f>
        <v/>
      </c>
    </row>
    <row r="27">
      <c r="A27" s="6" t="inlineStr">
        <is>
          <t>F1 一层</t>
        </is>
      </c>
      <c r="B27" s="6" t="inlineStr">
        <is>
          <t>客厅</t>
        </is>
      </c>
      <c r="C27" s="6" t="inlineStr">
        <is>
          <t>主材安装</t>
        </is>
      </c>
      <c r="D27" s="7" t="inlineStr">
        <is>
          <t>窗台石/小五金</t>
        </is>
      </c>
      <c r="E27" s="6" t="inlineStr">
        <is>
          <t>项</t>
        </is>
      </c>
      <c r="F27" s="8" t="n">
        <v>1</v>
      </c>
      <c r="G27" s="9" t="n">
        <v>600</v>
      </c>
      <c r="H27" s="9" t="n">
        <v>1400</v>
      </c>
      <c r="I27" s="9">
        <f>ROUND(F27*G27,0)</f>
        <v/>
      </c>
      <c r="J27" s="10">
        <f>ROUND(F27*H27,0)</f>
        <v/>
      </c>
    </row>
    <row r="28">
      <c r="A28" s="6" t="inlineStr">
        <is>
          <t>F1 一层</t>
        </is>
      </c>
      <c r="B28" s="6" t="inlineStr">
        <is>
          <t>餐厅</t>
        </is>
      </c>
      <c r="C28" s="6" t="inlineStr">
        <is>
          <t>拆改</t>
        </is>
      </c>
      <c r="D28" s="7" t="inlineStr">
        <is>
          <t>铲墙皮/界面处理</t>
        </is>
      </c>
      <c r="E28" s="6" t="inlineStr">
        <is>
          <t>㎡</t>
        </is>
      </c>
      <c r="F28" s="8" t="n">
        <v>41</v>
      </c>
      <c r="G28" s="9" t="n">
        <v>7</v>
      </c>
      <c r="H28" s="9" t="n">
        <v>16</v>
      </c>
      <c r="I28" s="9">
        <f>ROUND(F28*G28,0)</f>
        <v/>
      </c>
      <c r="J28" s="10">
        <f>ROUND(F28*H28,0)</f>
        <v/>
      </c>
    </row>
    <row r="29">
      <c r="A29" s="6" t="inlineStr">
        <is>
          <t>F1 一层</t>
        </is>
      </c>
      <c r="B29" s="6" t="inlineStr">
        <is>
          <t>餐厅</t>
        </is>
      </c>
      <c r="C29" s="6" t="inlineStr">
        <is>
          <t>水电</t>
        </is>
      </c>
      <c r="D29" s="7" t="inlineStr">
        <is>
          <t>强弱电/插座点位（人工+辅材）</t>
        </is>
      </c>
      <c r="E29" s="6" t="inlineStr">
        <is>
          <t>㎡</t>
        </is>
      </c>
      <c r="F29" s="8" t="n">
        <v>15</v>
      </c>
      <c r="G29" s="9" t="n">
        <v>80</v>
      </c>
      <c r="H29" s="9" t="n">
        <v>120</v>
      </c>
      <c r="I29" s="9">
        <f>ROUND(F29*G29,0)</f>
        <v/>
      </c>
      <c r="J29" s="10">
        <f>ROUND(F29*H29,0)</f>
        <v/>
      </c>
    </row>
    <row r="30">
      <c r="A30" s="6" t="inlineStr">
        <is>
          <t>F1 一层</t>
        </is>
      </c>
      <c r="B30" s="6" t="inlineStr">
        <is>
          <t>餐厅</t>
        </is>
      </c>
      <c r="C30" s="6" t="inlineStr">
        <is>
          <t>泥瓦</t>
        </is>
      </c>
      <c r="D30" s="7" t="inlineStr">
        <is>
          <t>地面找平</t>
        </is>
      </c>
      <c r="E30" s="6" t="inlineStr">
        <is>
          <t>㎡</t>
        </is>
      </c>
      <c r="F30" s="8" t="n">
        <v>15</v>
      </c>
      <c r="G30" s="9" t="n">
        <v>25</v>
      </c>
      <c r="H30" s="9" t="n">
        <v>40</v>
      </c>
      <c r="I30" s="9">
        <f>ROUND(F30*G30,0)</f>
        <v/>
      </c>
      <c r="J30" s="10">
        <f>ROUND(F30*H30,0)</f>
        <v/>
      </c>
    </row>
    <row r="31">
      <c r="A31" s="6" t="inlineStr">
        <is>
          <t>F1 一层</t>
        </is>
      </c>
      <c r="B31" s="6" t="inlineStr">
        <is>
          <t>餐厅</t>
        </is>
      </c>
      <c r="C31" s="6" t="inlineStr">
        <is>
          <t>木工</t>
        </is>
      </c>
      <c r="D31" s="7" t="inlineStr">
        <is>
          <t>石膏板平顶+窗帘盒</t>
        </is>
      </c>
      <c r="E31" s="6" t="inlineStr">
        <is>
          <t>㎡</t>
        </is>
      </c>
      <c r="F31" s="8" t="n">
        <v>15</v>
      </c>
      <c r="G31" s="9" t="n">
        <v>100</v>
      </c>
      <c r="H31" s="9" t="n">
        <v>180</v>
      </c>
      <c r="I31" s="9">
        <f>ROUND(F31*G31,0)</f>
        <v/>
      </c>
      <c r="J31" s="10">
        <f>ROUND(F31*H31,0)</f>
        <v/>
      </c>
    </row>
    <row r="32">
      <c r="A32" s="6" t="inlineStr">
        <is>
          <t>F1 一层</t>
        </is>
      </c>
      <c r="B32" s="6" t="inlineStr">
        <is>
          <t>餐厅</t>
        </is>
      </c>
      <c r="C32" s="6" t="inlineStr">
        <is>
          <t>油漆</t>
        </is>
      </c>
      <c r="D32" s="7" t="inlineStr">
        <is>
          <t>墙面腻子+乳胶漆</t>
        </is>
      </c>
      <c r="E32" s="6" t="inlineStr">
        <is>
          <t>㎡</t>
        </is>
      </c>
      <c r="F32" s="8" t="n">
        <v>41</v>
      </c>
      <c r="G32" s="9" t="n">
        <v>30</v>
      </c>
      <c r="H32" s="9" t="n">
        <v>45</v>
      </c>
      <c r="I32" s="9">
        <f>ROUND(F32*G32,0)</f>
        <v/>
      </c>
      <c r="J32" s="10">
        <f>ROUND(F32*H32,0)</f>
        <v/>
      </c>
    </row>
    <row r="33">
      <c r="A33" s="6" t="inlineStr">
        <is>
          <t>F1 一层</t>
        </is>
      </c>
      <c r="B33" s="6" t="inlineStr">
        <is>
          <t>餐厅</t>
        </is>
      </c>
      <c r="C33" s="6" t="inlineStr">
        <is>
          <t>主材安装</t>
        </is>
      </c>
      <c r="D33" s="7" t="inlineStr">
        <is>
          <t>多层实木地板（原木色，含安装）</t>
        </is>
      </c>
      <c r="E33" s="6" t="inlineStr">
        <is>
          <t>㎡</t>
        </is>
      </c>
      <c r="F33" s="8" t="n">
        <v>15.8</v>
      </c>
      <c r="G33" s="9" t="n">
        <v>260</v>
      </c>
      <c r="H33" s="9" t="n">
        <v>450</v>
      </c>
      <c r="I33" s="9">
        <f>ROUND(F33*G33,0)</f>
        <v/>
      </c>
      <c r="J33" s="10">
        <f>ROUND(F33*H33,0)</f>
        <v/>
      </c>
    </row>
    <row r="34">
      <c r="A34" s="6" t="inlineStr">
        <is>
          <t>F1 一层</t>
        </is>
      </c>
      <c r="B34" s="6" t="inlineStr">
        <is>
          <t>厨房</t>
        </is>
      </c>
      <c r="C34" s="6" t="inlineStr">
        <is>
          <t>拆改</t>
        </is>
      </c>
      <c r="D34" s="7" t="inlineStr">
        <is>
          <t>铲墙皮/界面处理</t>
        </is>
      </c>
      <c r="E34" s="6" t="inlineStr">
        <is>
          <t>㎡</t>
        </is>
      </c>
      <c r="F34" s="8" t="n">
        <v>20.7</v>
      </c>
      <c r="G34" s="9" t="n">
        <v>7</v>
      </c>
      <c r="H34" s="9" t="n">
        <v>16</v>
      </c>
      <c r="I34" s="9">
        <f>ROUND(F34*G34,0)</f>
        <v/>
      </c>
      <c r="J34" s="10">
        <f>ROUND(F34*H34,0)</f>
        <v/>
      </c>
    </row>
    <row r="35">
      <c r="A35" s="6" t="inlineStr">
        <is>
          <t>F1 一层</t>
        </is>
      </c>
      <c r="B35" s="6" t="inlineStr">
        <is>
          <t>厨房</t>
        </is>
      </c>
      <c r="C35" s="6" t="inlineStr">
        <is>
          <t>水电</t>
        </is>
      </c>
      <c r="D35" s="7" t="inlineStr">
        <is>
          <t>给排水+强弱电（人工+辅材）</t>
        </is>
      </c>
      <c r="E35" s="6" t="inlineStr">
        <is>
          <t>㎡</t>
        </is>
      </c>
      <c r="F35" s="8" t="n">
        <v>3.3</v>
      </c>
      <c r="G35" s="9" t="n">
        <v>150</v>
      </c>
      <c r="H35" s="9" t="n">
        <v>240</v>
      </c>
      <c r="I35" s="9">
        <f>ROUND(F35*G35,0)</f>
        <v/>
      </c>
      <c r="J35" s="10">
        <f>ROUND(F35*H35,0)</f>
        <v/>
      </c>
    </row>
    <row r="36">
      <c r="A36" s="6" t="inlineStr">
        <is>
          <t>F1 一层</t>
        </is>
      </c>
      <c r="B36" s="6" t="inlineStr">
        <is>
          <t>厨房</t>
        </is>
      </c>
      <c r="C36" s="6" t="inlineStr">
        <is>
          <t>泥瓦</t>
        </is>
      </c>
      <c r="D36" s="7" t="inlineStr">
        <is>
          <t>防水（地面+墙面上返0.3m）</t>
        </is>
      </c>
      <c r="E36" s="6" t="inlineStr">
        <is>
          <t>㎡</t>
        </is>
      </c>
      <c r="F36" s="8" t="n">
        <v>5.6</v>
      </c>
      <c r="G36" s="9" t="n">
        <v>70</v>
      </c>
      <c r="H36" s="9" t="n">
        <v>110</v>
      </c>
      <c r="I36" s="9">
        <f>ROUND(F36*G36,0)</f>
        <v/>
      </c>
      <c r="J36" s="10">
        <f>ROUND(F36*H36,0)</f>
        <v/>
      </c>
    </row>
    <row r="37">
      <c r="A37" s="6" t="inlineStr">
        <is>
          <t>F1 一层</t>
        </is>
      </c>
      <c r="B37" s="6" t="inlineStr">
        <is>
          <t>厨房</t>
        </is>
      </c>
      <c r="C37" s="6" t="inlineStr">
        <is>
          <t>泥瓦</t>
        </is>
      </c>
      <c r="D37" s="7" t="inlineStr">
        <is>
          <t>地面找平</t>
        </is>
      </c>
      <c r="E37" s="6" t="inlineStr">
        <is>
          <t>㎡</t>
        </is>
      </c>
      <c r="F37" s="8" t="n">
        <v>3.3</v>
      </c>
      <c r="G37" s="9" t="n">
        <v>25</v>
      </c>
      <c r="H37" s="9" t="n">
        <v>40</v>
      </c>
      <c r="I37" s="9">
        <f>ROUND(F37*G37,0)</f>
        <v/>
      </c>
      <c r="J37" s="10">
        <f>ROUND(F37*H37,0)</f>
        <v/>
      </c>
    </row>
    <row r="38">
      <c r="A38" s="6" t="inlineStr">
        <is>
          <t>F1 一层</t>
        </is>
      </c>
      <c r="B38" s="6" t="inlineStr">
        <is>
          <t>厨房</t>
        </is>
      </c>
      <c r="C38" s="6" t="inlineStr">
        <is>
          <t>泥瓦</t>
        </is>
      </c>
      <c r="D38" s="7" t="inlineStr">
        <is>
          <t>墙面拉毛+贴墙砖（人工）</t>
        </is>
      </c>
      <c r="E38" s="6" t="inlineStr">
        <is>
          <t>㎡</t>
        </is>
      </c>
      <c r="F38" s="8" t="n">
        <v>11</v>
      </c>
      <c r="G38" s="9" t="n">
        <v>45</v>
      </c>
      <c r="H38" s="9" t="n">
        <v>65</v>
      </c>
      <c r="I38" s="9">
        <f>ROUND(F38*G38,0)</f>
        <v/>
      </c>
      <c r="J38" s="10">
        <f>ROUND(F38*H38,0)</f>
        <v/>
      </c>
    </row>
    <row r="39">
      <c r="A39" s="6" t="inlineStr">
        <is>
          <t>F1 一层</t>
        </is>
      </c>
      <c r="B39" s="6" t="inlineStr">
        <is>
          <t>厨房</t>
        </is>
      </c>
      <c r="C39" s="6" t="inlineStr">
        <is>
          <t>泥瓦</t>
        </is>
      </c>
      <c r="D39" s="7" t="inlineStr">
        <is>
          <t>地面贴砖（人工）</t>
        </is>
      </c>
      <c r="E39" s="6" t="inlineStr">
        <is>
          <t>㎡</t>
        </is>
      </c>
      <c r="F39" s="8" t="n">
        <v>3.3</v>
      </c>
      <c r="G39" s="9" t="n">
        <v>40</v>
      </c>
      <c r="H39" s="9" t="n">
        <v>60</v>
      </c>
      <c r="I39" s="9">
        <f>ROUND(F39*G39,0)</f>
        <v/>
      </c>
      <c r="J39" s="10">
        <f>ROUND(F39*H39,0)</f>
        <v/>
      </c>
    </row>
    <row r="40">
      <c r="A40" s="6" t="inlineStr">
        <is>
          <t>F1 一层</t>
        </is>
      </c>
      <c r="B40" s="6" t="inlineStr">
        <is>
          <t>厨房</t>
        </is>
      </c>
      <c r="C40" s="6" t="inlineStr">
        <is>
          <t>木工</t>
        </is>
      </c>
      <c r="D40" s="7" t="inlineStr">
        <is>
          <t>铝扣板吊顶</t>
        </is>
      </c>
      <c r="E40" s="6" t="inlineStr">
        <is>
          <t>㎡</t>
        </is>
      </c>
      <c r="F40" s="8" t="n">
        <v>3.3</v>
      </c>
      <c r="G40" s="9" t="n">
        <v>110</v>
      </c>
      <c r="H40" s="9" t="n">
        <v>180</v>
      </c>
      <c r="I40" s="9">
        <f>ROUND(F40*G40,0)</f>
        <v/>
      </c>
      <c r="J40" s="10">
        <f>ROUND(F40*H40,0)</f>
        <v/>
      </c>
    </row>
    <row r="41">
      <c r="A41" s="6" t="inlineStr">
        <is>
          <t>F1 一层</t>
        </is>
      </c>
      <c r="B41" s="6" t="inlineStr">
        <is>
          <t>厨房</t>
        </is>
      </c>
      <c r="C41" s="6" t="inlineStr">
        <is>
          <t>主材安装</t>
        </is>
      </c>
      <c r="D41" s="7" t="inlineStr">
        <is>
          <t>厨房墙地砖（材料）</t>
        </is>
      </c>
      <c r="E41" s="6" t="inlineStr">
        <is>
          <t>㎡</t>
        </is>
      </c>
      <c r="F41" s="8" t="n">
        <v>15.7</v>
      </c>
      <c r="G41" s="9" t="n">
        <v>80</v>
      </c>
      <c r="H41" s="9" t="n">
        <v>160</v>
      </c>
      <c r="I41" s="9">
        <f>ROUND(F41*G41,0)</f>
        <v/>
      </c>
      <c r="J41" s="10">
        <f>ROUND(F41*H41,0)</f>
        <v/>
      </c>
    </row>
    <row r="42">
      <c r="A42" s="6" t="inlineStr">
        <is>
          <t>F1 一层</t>
        </is>
      </c>
      <c r="B42" s="6" t="inlineStr">
        <is>
          <t>厨房</t>
        </is>
      </c>
      <c r="C42" s="6" t="inlineStr">
        <is>
          <t>主材安装</t>
        </is>
      </c>
      <c r="D42" s="7" t="inlineStr">
        <is>
          <t>原木地柜（含石英石台面）</t>
        </is>
      </c>
      <c r="E42" s="6" t="inlineStr">
        <is>
          <t>延米</t>
        </is>
      </c>
      <c r="F42" s="8" t="n">
        <v>3.5</v>
      </c>
      <c r="G42" s="9" t="n">
        <v>1200</v>
      </c>
      <c r="H42" s="9" t="n">
        <v>2000</v>
      </c>
      <c r="I42" s="9">
        <f>ROUND(F42*G42,0)</f>
        <v/>
      </c>
      <c r="J42" s="10">
        <f>ROUND(F42*H42,0)</f>
        <v/>
      </c>
    </row>
    <row r="43">
      <c r="A43" s="6" t="inlineStr">
        <is>
          <t>F1 一层</t>
        </is>
      </c>
      <c r="B43" s="6" t="inlineStr">
        <is>
          <t>厨房</t>
        </is>
      </c>
      <c r="C43" s="6" t="inlineStr">
        <is>
          <t>主材安装</t>
        </is>
      </c>
      <c r="D43" s="7" t="inlineStr">
        <is>
          <t>原木吊柜</t>
        </is>
      </c>
      <c r="E43" s="6" t="inlineStr">
        <is>
          <t>延米</t>
        </is>
      </c>
      <c r="F43" s="8" t="n">
        <v>2.5</v>
      </c>
      <c r="G43" s="9" t="n">
        <v>500</v>
      </c>
      <c r="H43" s="9" t="n">
        <v>900</v>
      </c>
      <c r="I43" s="9">
        <f>ROUND(F43*G43,0)</f>
        <v/>
      </c>
      <c r="J43" s="10">
        <f>ROUND(F43*H43,0)</f>
        <v/>
      </c>
    </row>
    <row r="44">
      <c r="A44" s="6" t="inlineStr">
        <is>
          <t>F1 一层</t>
        </is>
      </c>
      <c r="B44" s="6" t="inlineStr">
        <is>
          <t>厨房</t>
        </is>
      </c>
      <c r="C44" s="6" t="inlineStr">
        <is>
          <t>主材安装</t>
        </is>
      </c>
      <c r="D44" s="7" t="inlineStr">
        <is>
          <t>水槽龙头/拉篮五金</t>
        </is>
      </c>
      <c r="E44" s="6" t="inlineStr">
        <is>
          <t>套</t>
        </is>
      </c>
      <c r="F44" s="8" t="n">
        <v>1</v>
      </c>
      <c r="G44" s="9" t="n">
        <v>1200</v>
      </c>
      <c r="H44" s="9" t="n">
        <v>3000</v>
      </c>
      <c r="I44" s="9">
        <f>ROUND(F44*G44,0)</f>
        <v/>
      </c>
      <c r="J44" s="10">
        <f>ROUND(F44*H44,0)</f>
        <v/>
      </c>
    </row>
    <row r="45">
      <c r="A45" s="6" t="inlineStr">
        <is>
          <t>F1 一层</t>
        </is>
      </c>
      <c r="B45" s="6" t="inlineStr">
        <is>
          <t>厨房</t>
        </is>
      </c>
      <c r="C45" s="6" t="inlineStr">
        <is>
          <t>主材安装</t>
        </is>
      </c>
      <c r="D45" s="7" t="inlineStr">
        <is>
          <t>烟机灶具</t>
        </is>
      </c>
      <c r="E45" s="6" t="inlineStr">
        <is>
          <t>套</t>
        </is>
      </c>
      <c r="F45" s="8" t="n">
        <v>1</v>
      </c>
      <c r="G45" s="9" t="n">
        <v>3500</v>
      </c>
      <c r="H45" s="9" t="n">
        <v>8000</v>
      </c>
      <c r="I45" s="9">
        <f>ROUND(F45*G45,0)</f>
        <v/>
      </c>
      <c r="J45" s="10">
        <f>ROUND(F45*H45,0)</f>
        <v/>
      </c>
    </row>
    <row r="46">
      <c r="A46" s="6" t="inlineStr">
        <is>
          <t>F1 一层</t>
        </is>
      </c>
      <c r="B46" s="6" t="inlineStr">
        <is>
          <t>卫生间</t>
        </is>
      </c>
      <c r="C46" s="6" t="inlineStr">
        <is>
          <t>拆改</t>
        </is>
      </c>
      <c r="D46" s="7" t="inlineStr">
        <is>
          <t>铲墙皮/界面处理</t>
        </is>
      </c>
      <c r="E46" s="6" t="inlineStr">
        <is>
          <t>㎡</t>
        </is>
      </c>
      <c r="F46" s="8" t="n">
        <v>20.8</v>
      </c>
      <c r="G46" s="9" t="n">
        <v>7</v>
      </c>
      <c r="H46" s="9" t="n">
        <v>16</v>
      </c>
      <c r="I46" s="9">
        <f>ROUND(F46*G46,0)</f>
        <v/>
      </c>
      <c r="J46" s="10">
        <f>ROUND(F46*H46,0)</f>
        <v/>
      </c>
    </row>
    <row r="47">
      <c r="A47" s="6" t="inlineStr">
        <is>
          <t>F1 一层</t>
        </is>
      </c>
      <c r="B47" s="6" t="inlineStr">
        <is>
          <t>卫生间</t>
        </is>
      </c>
      <c r="C47" s="6" t="inlineStr">
        <is>
          <t>水电</t>
        </is>
      </c>
      <c r="D47" s="7" t="inlineStr">
        <is>
          <t>给排水+电位（人工+辅材）</t>
        </is>
      </c>
      <c r="E47" s="6" t="inlineStr">
        <is>
          <t>㎡</t>
        </is>
      </c>
      <c r="F47" s="8" t="n">
        <v>2.9</v>
      </c>
      <c r="G47" s="9" t="n">
        <v>180</v>
      </c>
      <c r="H47" s="9" t="n">
        <v>280</v>
      </c>
      <c r="I47" s="9">
        <f>ROUND(F47*G47,0)</f>
        <v/>
      </c>
      <c r="J47" s="10">
        <f>ROUND(F47*H47,0)</f>
        <v/>
      </c>
    </row>
    <row r="48">
      <c r="A48" s="6" t="inlineStr">
        <is>
          <t>F1 一层</t>
        </is>
      </c>
      <c r="B48" s="6" t="inlineStr">
        <is>
          <t>卫生间</t>
        </is>
      </c>
      <c r="C48" s="6" t="inlineStr">
        <is>
          <t>泥瓦</t>
        </is>
      </c>
      <c r="D48" s="7" t="inlineStr">
        <is>
          <t>防水（地面+墙面1.8m）</t>
        </is>
      </c>
      <c r="E48" s="6" t="inlineStr">
        <is>
          <t>㎡</t>
        </is>
      </c>
      <c r="F48" s="8" t="n">
        <v>15.5</v>
      </c>
      <c r="G48" s="9" t="n">
        <v>70</v>
      </c>
      <c r="H48" s="9" t="n">
        <v>110</v>
      </c>
      <c r="I48" s="9">
        <f>ROUND(F48*G48,0)</f>
        <v/>
      </c>
      <c r="J48" s="10">
        <f>ROUND(F48*H48,0)</f>
        <v/>
      </c>
    </row>
    <row r="49">
      <c r="A49" s="6" t="inlineStr">
        <is>
          <t>F1 一层</t>
        </is>
      </c>
      <c r="B49" s="6" t="inlineStr">
        <is>
          <t>卫生间</t>
        </is>
      </c>
      <c r="C49" s="6" t="inlineStr">
        <is>
          <t>泥瓦</t>
        </is>
      </c>
      <c r="D49" s="7" t="inlineStr">
        <is>
          <t>墙地面找平/拉毛</t>
        </is>
      </c>
      <c r="E49" s="6" t="inlineStr">
        <is>
          <t>㎡</t>
        </is>
      </c>
      <c r="F49" s="8" t="n">
        <v>6</v>
      </c>
      <c r="G49" s="9" t="n">
        <v>30</v>
      </c>
      <c r="H49" s="9" t="n">
        <v>50</v>
      </c>
      <c r="I49" s="9">
        <f>ROUND(F49*G49,0)</f>
        <v/>
      </c>
      <c r="J49" s="10">
        <f>ROUND(F49*H49,0)</f>
        <v/>
      </c>
    </row>
    <row r="50">
      <c r="A50" s="6" t="inlineStr">
        <is>
          <t>F1 一层</t>
        </is>
      </c>
      <c r="B50" s="6" t="inlineStr">
        <is>
          <t>卫生间</t>
        </is>
      </c>
      <c r="C50" s="6" t="inlineStr">
        <is>
          <t>泥瓦</t>
        </is>
      </c>
      <c r="D50" s="7" t="inlineStr">
        <is>
          <t>贴墙砖（人工）</t>
        </is>
      </c>
      <c r="E50" s="6" t="inlineStr">
        <is>
          <t>㎡</t>
        </is>
      </c>
      <c r="F50" s="8" t="n">
        <v>20.8</v>
      </c>
      <c r="G50" s="9" t="n">
        <v>45</v>
      </c>
      <c r="H50" s="9" t="n">
        <v>65</v>
      </c>
      <c r="I50" s="9">
        <f>ROUND(F50*G50,0)</f>
        <v/>
      </c>
      <c r="J50" s="10">
        <f>ROUND(F50*H50,0)</f>
        <v/>
      </c>
    </row>
    <row r="51">
      <c r="A51" s="6" t="inlineStr">
        <is>
          <t>F1 一层</t>
        </is>
      </c>
      <c r="B51" s="6" t="inlineStr">
        <is>
          <t>卫生间</t>
        </is>
      </c>
      <c r="C51" s="6" t="inlineStr">
        <is>
          <t>泥瓦</t>
        </is>
      </c>
      <c r="D51" s="7" t="inlineStr">
        <is>
          <t>贴地砖（人工）</t>
        </is>
      </c>
      <c r="E51" s="6" t="inlineStr">
        <is>
          <t>㎡</t>
        </is>
      </c>
      <c r="F51" s="8" t="n">
        <v>2.9</v>
      </c>
      <c r="G51" s="9" t="n">
        <v>40</v>
      </c>
      <c r="H51" s="9" t="n">
        <v>60</v>
      </c>
      <c r="I51" s="9">
        <f>ROUND(F51*G51,0)</f>
        <v/>
      </c>
      <c r="J51" s="10">
        <f>ROUND(F51*H51,0)</f>
        <v/>
      </c>
    </row>
    <row r="52">
      <c r="A52" s="6" t="inlineStr">
        <is>
          <t>F1 一层</t>
        </is>
      </c>
      <c r="B52" s="6" t="inlineStr">
        <is>
          <t>卫生间</t>
        </is>
      </c>
      <c r="C52" s="6" t="inlineStr">
        <is>
          <t>木工</t>
        </is>
      </c>
      <c r="D52" s="7" t="inlineStr">
        <is>
          <t>铝扣板吊顶</t>
        </is>
      </c>
      <c r="E52" s="6" t="inlineStr">
        <is>
          <t>㎡</t>
        </is>
      </c>
      <c r="F52" s="8" t="n">
        <v>2.9</v>
      </c>
      <c r="G52" s="9" t="n">
        <v>110</v>
      </c>
      <c r="H52" s="9" t="n">
        <v>180</v>
      </c>
      <c r="I52" s="9">
        <f>ROUND(F52*G52,0)</f>
        <v/>
      </c>
      <c r="J52" s="10">
        <f>ROUND(F52*H52,0)</f>
        <v/>
      </c>
    </row>
    <row r="53">
      <c r="A53" s="6" t="inlineStr">
        <is>
          <t>F1 一层</t>
        </is>
      </c>
      <c r="B53" s="6" t="inlineStr">
        <is>
          <t>卫生间</t>
        </is>
      </c>
      <c r="C53" s="6" t="inlineStr">
        <is>
          <t>主材安装</t>
        </is>
      </c>
      <c r="D53" s="7" t="inlineStr">
        <is>
          <t>墙地砖（材料）</t>
        </is>
      </c>
      <c r="E53" s="6" t="inlineStr">
        <is>
          <t>㎡</t>
        </is>
      </c>
      <c r="F53" s="8" t="n">
        <v>26</v>
      </c>
      <c r="G53" s="9" t="n">
        <v>90</v>
      </c>
      <c r="H53" s="9" t="n">
        <v>170</v>
      </c>
      <c r="I53" s="9">
        <f>ROUND(F53*G53,0)</f>
        <v/>
      </c>
      <c r="J53" s="10">
        <f>ROUND(F53*H53,0)</f>
        <v/>
      </c>
    </row>
    <row r="54">
      <c r="A54" s="6" t="inlineStr">
        <is>
          <t>F1 一层</t>
        </is>
      </c>
      <c r="B54" s="6" t="inlineStr">
        <is>
          <t>卫生间</t>
        </is>
      </c>
      <c r="C54" s="6" t="inlineStr">
        <is>
          <t>主材安装</t>
        </is>
      </c>
      <c r="D54" s="7" t="inlineStr">
        <is>
          <t>原木浴室柜（含台盆）</t>
        </is>
      </c>
      <c r="E54" s="6" t="inlineStr">
        <is>
          <t>套</t>
        </is>
      </c>
      <c r="F54" s="8" t="n">
        <v>1</v>
      </c>
      <c r="G54" s="9" t="n">
        <v>900</v>
      </c>
      <c r="H54" s="9" t="n">
        <v>1800</v>
      </c>
      <c r="I54" s="9">
        <f>ROUND(F54*G54,0)</f>
        <v/>
      </c>
      <c r="J54" s="10">
        <f>ROUND(F54*H54,0)</f>
        <v/>
      </c>
    </row>
    <row r="55">
      <c r="A55" s="6" t="inlineStr">
        <is>
          <t>F1 一层</t>
        </is>
      </c>
      <c r="B55" s="6" t="inlineStr">
        <is>
          <t>卫生间</t>
        </is>
      </c>
      <c r="C55" s="6" t="inlineStr">
        <is>
          <t>主材安装</t>
        </is>
      </c>
      <c r="D55" s="7" t="inlineStr">
        <is>
          <t>坐便器</t>
        </is>
      </c>
      <c r="E55" s="6" t="inlineStr">
        <is>
          <t>套</t>
        </is>
      </c>
      <c r="F55" s="8" t="n">
        <v>1</v>
      </c>
      <c r="G55" s="9" t="n">
        <v>1200</v>
      </c>
      <c r="H55" s="9" t="n">
        <v>3500</v>
      </c>
      <c r="I55" s="9">
        <f>ROUND(F55*G55,0)</f>
        <v/>
      </c>
      <c r="J55" s="10">
        <f>ROUND(F55*H55,0)</f>
        <v/>
      </c>
    </row>
    <row r="56">
      <c r="A56" s="6" t="inlineStr">
        <is>
          <t>F1 一层</t>
        </is>
      </c>
      <c r="B56" s="6" t="inlineStr">
        <is>
          <t>卫生间</t>
        </is>
      </c>
      <c r="C56" s="6" t="inlineStr">
        <is>
          <t>主材安装</t>
        </is>
      </c>
      <c r="D56" s="7" t="inlineStr">
        <is>
          <t>淋浴花洒/淋浴房</t>
        </is>
      </c>
      <c r="E56" s="6" t="inlineStr">
        <is>
          <t>套</t>
        </is>
      </c>
      <c r="F56" s="8" t="n">
        <v>1</v>
      </c>
      <c r="G56" s="9" t="n">
        <v>1200</v>
      </c>
      <c r="H56" s="9" t="n">
        <v>3500</v>
      </c>
      <c r="I56" s="9">
        <f>ROUND(F56*G56,0)</f>
        <v/>
      </c>
      <c r="J56" s="10">
        <f>ROUND(F56*H56,0)</f>
        <v/>
      </c>
    </row>
    <row r="57">
      <c r="A57" s="6" t="inlineStr">
        <is>
          <t>F1 一层</t>
        </is>
      </c>
      <c r="B57" s="6" t="inlineStr">
        <is>
          <t>卫生间</t>
        </is>
      </c>
      <c r="C57" s="6" t="inlineStr">
        <is>
          <t>主材安装</t>
        </is>
      </c>
      <c r="D57" s="7" t="inlineStr">
        <is>
          <t>五金挂件/地漏</t>
        </is>
      </c>
      <c r="E57" s="6" t="inlineStr">
        <is>
          <t>套</t>
        </is>
      </c>
      <c r="F57" s="8" t="n">
        <v>1</v>
      </c>
      <c r="G57" s="9" t="n">
        <v>500</v>
      </c>
      <c r="H57" s="9" t="n">
        <v>1200</v>
      </c>
      <c r="I57" s="9">
        <f>ROUND(F57*G57,0)</f>
        <v/>
      </c>
      <c r="J57" s="10">
        <f>ROUND(F57*H57,0)</f>
        <v/>
      </c>
    </row>
    <row r="58">
      <c r="A58" s="6" t="inlineStr">
        <is>
          <t>F1 一层</t>
        </is>
      </c>
      <c r="B58" s="6" t="inlineStr">
        <is>
          <t>入户/公共</t>
        </is>
      </c>
      <c r="C58" s="6" t="inlineStr">
        <is>
          <t>拆改</t>
        </is>
      </c>
      <c r="D58" s="7" t="inlineStr">
        <is>
          <t>入户区域基层处理</t>
        </is>
      </c>
      <c r="E58" s="6" t="inlineStr">
        <is>
          <t>㎡</t>
        </is>
      </c>
      <c r="F58" s="8" t="n">
        <v>20</v>
      </c>
      <c r="G58" s="9" t="n">
        <v>7</v>
      </c>
      <c r="H58" s="9" t="n">
        <v>16</v>
      </c>
      <c r="I58" s="9">
        <f>ROUND(F58*G58,0)</f>
        <v/>
      </c>
      <c r="J58" s="10">
        <f>ROUND(F58*H58,0)</f>
        <v/>
      </c>
    </row>
    <row r="59">
      <c r="A59" s="6" t="inlineStr">
        <is>
          <t>F1 一层</t>
        </is>
      </c>
      <c r="B59" s="6" t="inlineStr">
        <is>
          <t>入户/公共</t>
        </is>
      </c>
      <c r="C59" s="6" t="inlineStr">
        <is>
          <t>水电</t>
        </is>
      </c>
      <c r="D59" s="7" t="inlineStr">
        <is>
          <t>配电箱/弱电箱改造</t>
        </is>
      </c>
      <c r="E59" s="6" t="inlineStr">
        <is>
          <t>项</t>
        </is>
      </c>
      <c r="F59" s="8" t="n">
        <v>1</v>
      </c>
      <c r="G59" s="9" t="n">
        <v>2000</v>
      </c>
      <c r="H59" s="9" t="n">
        <v>5000</v>
      </c>
      <c r="I59" s="9">
        <f>ROUND(F59*G59,0)</f>
        <v/>
      </c>
      <c r="J59" s="10">
        <f>ROUND(F59*H59,0)</f>
        <v/>
      </c>
    </row>
    <row r="60">
      <c r="A60" s="6" t="inlineStr">
        <is>
          <t>F1 一层</t>
        </is>
      </c>
      <c r="B60" s="6" t="inlineStr">
        <is>
          <t>入户/公共</t>
        </is>
      </c>
      <c r="C60" s="6" t="inlineStr">
        <is>
          <t>泥瓦</t>
        </is>
      </c>
      <c r="D60" s="7" t="inlineStr">
        <is>
          <t>入户地砖铺贴（含找平）</t>
        </is>
      </c>
      <c r="E60" s="6" t="inlineStr">
        <is>
          <t>㎡</t>
        </is>
      </c>
      <c r="F60" s="8" t="n">
        <v>8</v>
      </c>
      <c r="G60" s="9" t="n">
        <v>55</v>
      </c>
      <c r="H60" s="9" t="n">
        <v>85</v>
      </c>
      <c r="I60" s="9">
        <f>ROUND(F60*G60,0)</f>
        <v/>
      </c>
      <c r="J60" s="10">
        <f>ROUND(F60*H60,0)</f>
        <v/>
      </c>
    </row>
    <row r="61">
      <c r="A61" s="6" t="inlineStr">
        <is>
          <t>F1 一层</t>
        </is>
      </c>
      <c r="B61" s="6" t="inlineStr">
        <is>
          <t>入户/公共</t>
        </is>
      </c>
      <c r="C61" s="6" t="inlineStr">
        <is>
          <t>主材安装</t>
        </is>
      </c>
      <c r="D61" s="7" t="inlineStr">
        <is>
          <t>入户地砖（材料）</t>
        </is>
      </c>
      <c r="E61" s="6" t="inlineStr">
        <is>
          <t>㎡</t>
        </is>
      </c>
      <c r="F61" s="8" t="n">
        <v>9</v>
      </c>
      <c r="G61" s="9" t="n">
        <v>100</v>
      </c>
      <c r="H61" s="9" t="n">
        <v>200</v>
      </c>
      <c r="I61" s="9">
        <f>ROUND(F61*G61,0)</f>
        <v/>
      </c>
      <c r="J61" s="10">
        <f>ROUND(F61*H61,0)</f>
        <v/>
      </c>
    </row>
    <row r="62">
      <c r="A62" s="6" t="inlineStr">
        <is>
          <t>F1 一层</t>
        </is>
      </c>
      <c r="B62" s="6" t="inlineStr">
        <is>
          <t>入户/公共</t>
        </is>
      </c>
      <c r="C62" s="6" t="inlineStr">
        <is>
          <t>主材安装</t>
        </is>
      </c>
      <c r="D62" s="7" t="inlineStr">
        <is>
          <t>入户钢木大门（含门套，如更换）</t>
        </is>
      </c>
      <c r="E62" s="6" t="inlineStr">
        <is>
          <t>樘</t>
        </is>
      </c>
      <c r="F62" s="8" t="n">
        <v>1</v>
      </c>
      <c r="G62" s="9" t="n">
        <v>2500</v>
      </c>
      <c r="H62" s="9" t="n">
        <v>6000</v>
      </c>
      <c r="I62" s="9">
        <f>ROUND(F62*G62,0)</f>
        <v/>
      </c>
      <c r="J62" s="10">
        <f>ROUND(F62*H62,0)</f>
        <v/>
      </c>
    </row>
    <row r="63">
      <c r="A63" s="4" t="inlineStr">
        <is>
          <t>▼ F2 二层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6" t="inlineStr">
        <is>
          <t>F2 二层</t>
        </is>
      </c>
      <c r="B64" s="6" t="inlineStr">
        <is>
          <t>西北卧</t>
        </is>
      </c>
      <c r="C64" s="6" t="inlineStr">
        <is>
          <t>拆改</t>
        </is>
      </c>
      <c r="D64" s="7" t="inlineStr">
        <is>
          <t>铲墙皮/界面处理</t>
        </is>
      </c>
      <c r="E64" s="6" t="inlineStr">
        <is>
          <t>㎡</t>
        </is>
      </c>
      <c r="F64" s="8" t="n">
        <v>26</v>
      </c>
      <c r="G64" s="9" t="n">
        <v>7</v>
      </c>
      <c r="H64" s="9" t="n">
        <v>16</v>
      </c>
      <c r="I64" s="9">
        <f>ROUND(F64*G64,0)</f>
        <v/>
      </c>
      <c r="J64" s="10">
        <f>ROUND(F64*H64,0)</f>
        <v/>
      </c>
    </row>
    <row r="65">
      <c r="A65" s="6" t="inlineStr">
        <is>
          <t>F2 二层</t>
        </is>
      </c>
      <c r="B65" s="6" t="inlineStr">
        <is>
          <t>西北卧</t>
        </is>
      </c>
      <c r="C65" s="6" t="inlineStr">
        <is>
          <t>水电</t>
        </is>
      </c>
      <c r="D65" s="7" t="inlineStr">
        <is>
          <t>强弱电/点位（人工+辅材）</t>
        </is>
      </c>
      <c r="E65" s="6" t="inlineStr">
        <is>
          <t>㎡</t>
        </is>
      </c>
      <c r="F65" s="8" t="n">
        <v>6.8</v>
      </c>
      <c r="G65" s="9" t="n">
        <v>80</v>
      </c>
      <c r="H65" s="9" t="n">
        <v>120</v>
      </c>
      <c r="I65" s="9">
        <f>ROUND(F65*G65,0)</f>
        <v/>
      </c>
      <c r="J65" s="10">
        <f>ROUND(F65*H65,0)</f>
        <v/>
      </c>
    </row>
    <row r="66">
      <c r="A66" s="6" t="inlineStr">
        <is>
          <t>F2 二层</t>
        </is>
      </c>
      <c r="B66" s="6" t="inlineStr">
        <is>
          <t>西北卧</t>
        </is>
      </c>
      <c r="C66" s="6" t="inlineStr">
        <is>
          <t>泥瓦</t>
        </is>
      </c>
      <c r="D66" s="7" t="inlineStr">
        <is>
          <t>地面找平</t>
        </is>
      </c>
      <c r="E66" s="6" t="inlineStr">
        <is>
          <t>㎡</t>
        </is>
      </c>
      <c r="F66" s="8" t="n">
        <v>6.8</v>
      </c>
      <c r="G66" s="9" t="n">
        <v>25</v>
      </c>
      <c r="H66" s="9" t="n">
        <v>40</v>
      </c>
      <c r="I66" s="9">
        <f>ROUND(F66*G66,0)</f>
        <v/>
      </c>
      <c r="J66" s="10">
        <f>ROUND(F66*H66,0)</f>
        <v/>
      </c>
    </row>
    <row r="67">
      <c r="A67" s="6" t="inlineStr">
        <is>
          <t>F2 二层</t>
        </is>
      </c>
      <c r="B67" s="6" t="inlineStr">
        <is>
          <t>西北卧</t>
        </is>
      </c>
      <c r="C67" s="6" t="inlineStr">
        <is>
          <t>木工</t>
        </is>
      </c>
      <c r="D67" s="7" t="inlineStr">
        <is>
          <t>石膏顶角线/窗帘盒</t>
        </is>
      </c>
      <c r="E67" s="6" t="inlineStr">
        <is>
          <t>m</t>
        </is>
      </c>
      <c r="F67" s="8" t="n">
        <v>10.5</v>
      </c>
      <c r="G67" s="9" t="n">
        <v>15</v>
      </c>
      <c r="H67" s="9" t="n">
        <v>28</v>
      </c>
      <c r="I67" s="9">
        <f>ROUND(F67*G67,0)</f>
        <v/>
      </c>
      <c r="J67" s="10">
        <f>ROUND(F67*H67,0)</f>
        <v/>
      </c>
    </row>
    <row r="68">
      <c r="A68" s="6" t="inlineStr">
        <is>
          <t>F2 二层</t>
        </is>
      </c>
      <c r="B68" s="6" t="inlineStr">
        <is>
          <t>西北卧</t>
        </is>
      </c>
      <c r="C68" s="6" t="inlineStr">
        <is>
          <t>油漆</t>
        </is>
      </c>
      <c r="D68" s="7" t="inlineStr">
        <is>
          <t>墙面腻子+乳胶漆</t>
        </is>
      </c>
      <c r="E68" s="6" t="inlineStr">
        <is>
          <t>㎡</t>
        </is>
      </c>
      <c r="F68" s="8" t="n">
        <v>26</v>
      </c>
      <c r="G68" s="9" t="n">
        <v>30</v>
      </c>
      <c r="H68" s="9" t="n">
        <v>45</v>
      </c>
      <c r="I68" s="9">
        <f>ROUND(F68*G68,0)</f>
        <v/>
      </c>
      <c r="J68" s="10">
        <f>ROUND(F68*H68,0)</f>
        <v/>
      </c>
    </row>
    <row r="69">
      <c r="A69" s="6" t="inlineStr">
        <is>
          <t>F2 二层</t>
        </is>
      </c>
      <c r="B69" s="6" t="inlineStr">
        <is>
          <t>西北卧</t>
        </is>
      </c>
      <c r="C69" s="6" t="inlineStr">
        <is>
          <t>主材安装</t>
        </is>
      </c>
      <c r="D69" s="7" t="inlineStr">
        <is>
          <t>多层实木地板（原木色，含安装）</t>
        </is>
      </c>
      <c r="E69" s="6" t="inlineStr">
        <is>
          <t>㎡</t>
        </is>
      </c>
      <c r="F69" s="8" t="n">
        <v>7.1</v>
      </c>
      <c r="G69" s="9" t="n">
        <v>260</v>
      </c>
      <c r="H69" s="9" t="n">
        <v>450</v>
      </c>
      <c r="I69" s="9">
        <f>ROUND(F69*G69,0)</f>
        <v/>
      </c>
      <c r="J69" s="10">
        <f>ROUND(F69*H69,0)</f>
        <v/>
      </c>
    </row>
    <row r="70">
      <c r="A70" s="6" t="inlineStr">
        <is>
          <t>F2 二层</t>
        </is>
      </c>
      <c r="B70" s="6" t="inlineStr">
        <is>
          <t>西北卧</t>
        </is>
      </c>
      <c r="C70" s="6" t="inlineStr">
        <is>
          <t>主材安装</t>
        </is>
      </c>
      <c r="D70" s="7" t="inlineStr">
        <is>
          <t>实木复合门（含套锁五金）</t>
        </is>
      </c>
      <c r="E70" s="6" t="inlineStr">
        <is>
          <t>樘</t>
        </is>
      </c>
      <c r="F70" s="8" t="n">
        <v>1</v>
      </c>
      <c r="G70" s="9" t="n">
        <v>1300</v>
      </c>
      <c r="H70" s="9" t="n">
        <v>2200</v>
      </c>
      <c r="I70" s="9">
        <f>ROUND(F70*G70,0)</f>
        <v/>
      </c>
      <c r="J70" s="10">
        <f>ROUND(F70*H70,0)</f>
        <v/>
      </c>
    </row>
    <row r="71">
      <c r="A71" s="6" t="inlineStr">
        <is>
          <t>F2 二层</t>
        </is>
      </c>
      <c r="B71" s="6" t="inlineStr">
        <is>
          <t>西南卧</t>
        </is>
      </c>
      <c r="C71" s="6" t="inlineStr">
        <is>
          <t>拆改</t>
        </is>
      </c>
      <c r="D71" s="7" t="inlineStr">
        <is>
          <t>铲墙皮/界面处理</t>
        </is>
      </c>
      <c r="E71" s="6" t="inlineStr">
        <is>
          <t>㎡</t>
        </is>
      </c>
      <c r="F71" s="8" t="n">
        <v>34</v>
      </c>
      <c r="G71" s="9" t="n">
        <v>7</v>
      </c>
      <c r="H71" s="9" t="n">
        <v>16</v>
      </c>
      <c r="I71" s="9">
        <f>ROUND(F71*G71,0)</f>
        <v/>
      </c>
      <c r="J71" s="10">
        <f>ROUND(F71*H71,0)</f>
        <v/>
      </c>
    </row>
    <row r="72">
      <c r="A72" s="6" t="inlineStr">
        <is>
          <t>F2 二层</t>
        </is>
      </c>
      <c r="B72" s="6" t="inlineStr">
        <is>
          <t>西南卧</t>
        </is>
      </c>
      <c r="C72" s="6" t="inlineStr">
        <is>
          <t>水电</t>
        </is>
      </c>
      <c r="D72" s="7" t="inlineStr">
        <is>
          <t>强弱电/点位（人工+辅材）</t>
        </is>
      </c>
      <c r="E72" s="6" t="inlineStr">
        <is>
          <t>㎡</t>
        </is>
      </c>
      <c r="F72" s="8" t="n">
        <v>12.3</v>
      </c>
      <c r="G72" s="9" t="n">
        <v>80</v>
      </c>
      <c r="H72" s="9" t="n">
        <v>120</v>
      </c>
      <c r="I72" s="9">
        <f>ROUND(F72*G72,0)</f>
        <v/>
      </c>
      <c r="J72" s="10">
        <f>ROUND(F72*H72,0)</f>
        <v/>
      </c>
    </row>
    <row r="73">
      <c r="A73" s="6" t="inlineStr">
        <is>
          <t>F2 二层</t>
        </is>
      </c>
      <c r="B73" s="6" t="inlineStr">
        <is>
          <t>西南卧</t>
        </is>
      </c>
      <c r="C73" s="6" t="inlineStr">
        <is>
          <t>泥瓦</t>
        </is>
      </c>
      <c r="D73" s="7" t="inlineStr">
        <is>
          <t>地面找平</t>
        </is>
      </c>
      <c r="E73" s="6" t="inlineStr">
        <is>
          <t>㎡</t>
        </is>
      </c>
      <c r="F73" s="8" t="n">
        <v>12.3</v>
      </c>
      <c r="G73" s="9" t="n">
        <v>25</v>
      </c>
      <c r="H73" s="9" t="n">
        <v>40</v>
      </c>
      <c r="I73" s="9">
        <f>ROUND(F73*G73,0)</f>
        <v/>
      </c>
      <c r="J73" s="10">
        <f>ROUND(F73*H73,0)</f>
        <v/>
      </c>
    </row>
    <row r="74">
      <c r="A74" s="6" t="inlineStr">
        <is>
          <t>F2 二层</t>
        </is>
      </c>
      <c r="B74" s="6" t="inlineStr">
        <is>
          <t>西南卧</t>
        </is>
      </c>
      <c r="C74" s="6" t="inlineStr">
        <is>
          <t>木工</t>
        </is>
      </c>
      <c r="D74" s="7" t="inlineStr">
        <is>
          <t>石膏顶角线/窗帘盒</t>
        </is>
      </c>
      <c r="E74" s="6" t="inlineStr">
        <is>
          <t>m</t>
        </is>
      </c>
      <c r="F74" s="8" t="n">
        <v>14.2</v>
      </c>
      <c r="G74" s="9" t="n">
        <v>15</v>
      </c>
      <c r="H74" s="9" t="n">
        <v>28</v>
      </c>
      <c r="I74" s="9">
        <f>ROUND(F74*G74,0)</f>
        <v/>
      </c>
      <c r="J74" s="10">
        <f>ROUND(F74*H74,0)</f>
        <v/>
      </c>
    </row>
    <row r="75">
      <c r="A75" s="6" t="inlineStr">
        <is>
          <t>F2 二层</t>
        </is>
      </c>
      <c r="B75" s="6" t="inlineStr">
        <is>
          <t>西南卧</t>
        </is>
      </c>
      <c r="C75" s="6" t="inlineStr">
        <is>
          <t>油漆</t>
        </is>
      </c>
      <c r="D75" s="7" t="inlineStr">
        <is>
          <t>墙面腻子+乳胶漆</t>
        </is>
      </c>
      <c r="E75" s="6" t="inlineStr">
        <is>
          <t>㎡</t>
        </is>
      </c>
      <c r="F75" s="8" t="n">
        <v>34</v>
      </c>
      <c r="G75" s="9" t="n">
        <v>30</v>
      </c>
      <c r="H75" s="9" t="n">
        <v>45</v>
      </c>
      <c r="I75" s="9">
        <f>ROUND(F75*G75,0)</f>
        <v/>
      </c>
      <c r="J75" s="10">
        <f>ROUND(F75*H75,0)</f>
        <v/>
      </c>
    </row>
    <row r="76">
      <c r="A76" s="6" t="inlineStr">
        <is>
          <t>F2 二层</t>
        </is>
      </c>
      <c r="B76" s="6" t="inlineStr">
        <is>
          <t>西南卧</t>
        </is>
      </c>
      <c r="C76" s="6" t="inlineStr">
        <is>
          <t>主材安装</t>
        </is>
      </c>
      <c r="D76" s="7" t="inlineStr">
        <is>
          <t>多层实木地板（原木色，含安装）</t>
        </is>
      </c>
      <c r="E76" s="6" t="inlineStr">
        <is>
          <t>㎡</t>
        </is>
      </c>
      <c r="F76" s="8" t="n">
        <v>12.9</v>
      </c>
      <c r="G76" s="9" t="n">
        <v>260</v>
      </c>
      <c r="H76" s="9" t="n">
        <v>450</v>
      </c>
      <c r="I76" s="9">
        <f>ROUND(F76*G76,0)</f>
        <v/>
      </c>
      <c r="J76" s="10">
        <f>ROUND(F76*H76,0)</f>
        <v/>
      </c>
    </row>
    <row r="77">
      <c r="A77" s="6" t="inlineStr">
        <is>
          <t>F2 二层</t>
        </is>
      </c>
      <c r="B77" s="6" t="inlineStr">
        <is>
          <t>西南卧</t>
        </is>
      </c>
      <c r="C77" s="6" t="inlineStr">
        <is>
          <t>主材安装</t>
        </is>
      </c>
      <c r="D77" s="7" t="inlineStr">
        <is>
          <t>实木复合门（含套锁五金）</t>
        </is>
      </c>
      <c r="E77" s="6" t="inlineStr">
        <is>
          <t>樘</t>
        </is>
      </c>
      <c r="F77" s="8" t="n">
        <v>1</v>
      </c>
      <c r="G77" s="9" t="n">
        <v>1300</v>
      </c>
      <c r="H77" s="9" t="n">
        <v>2200</v>
      </c>
      <c r="I77" s="9">
        <f>ROUND(F77*G77,0)</f>
        <v/>
      </c>
      <c r="J77" s="10">
        <f>ROUND(F77*H77,0)</f>
        <v/>
      </c>
    </row>
    <row r="78">
      <c r="A78" s="6" t="inlineStr">
        <is>
          <t>F2 二层</t>
        </is>
      </c>
      <c r="B78" s="6" t="inlineStr">
        <is>
          <t>西南卧</t>
        </is>
      </c>
      <c r="C78" s="6" t="inlineStr">
        <is>
          <t>主材安装</t>
        </is>
      </c>
      <c r="D78" s="7" t="inlineStr">
        <is>
          <t>阳台原木框推拉门（含安装）</t>
        </is>
      </c>
      <c r="E78" s="6" t="inlineStr">
        <is>
          <t>㎡</t>
        </is>
      </c>
      <c r="F78" s="8" t="n">
        <v>4</v>
      </c>
      <c r="G78" s="9" t="n">
        <v>800</v>
      </c>
      <c r="H78" s="9" t="n">
        <v>1500</v>
      </c>
      <c r="I78" s="9">
        <f>ROUND(F78*G78,0)</f>
        <v/>
      </c>
      <c r="J78" s="10">
        <f>ROUND(F78*H78,0)</f>
        <v/>
      </c>
    </row>
    <row r="79">
      <c r="A79" s="6" t="inlineStr">
        <is>
          <t>F2 二层</t>
        </is>
      </c>
      <c r="B79" s="6" t="inlineStr">
        <is>
          <t>东南卧</t>
        </is>
      </c>
      <c r="C79" s="6" t="inlineStr">
        <is>
          <t>拆改</t>
        </is>
      </c>
      <c r="D79" s="7" t="inlineStr">
        <is>
          <t>铲墙皮/界面处理</t>
        </is>
      </c>
      <c r="E79" s="6" t="inlineStr">
        <is>
          <t>㎡</t>
        </is>
      </c>
      <c r="F79" s="8" t="n">
        <v>33</v>
      </c>
      <c r="G79" s="9" t="n">
        <v>7</v>
      </c>
      <c r="H79" s="9" t="n">
        <v>16</v>
      </c>
      <c r="I79" s="9">
        <f>ROUND(F79*G79,0)</f>
        <v/>
      </c>
      <c r="J79" s="10">
        <f>ROUND(F79*H79,0)</f>
        <v/>
      </c>
    </row>
    <row r="80">
      <c r="A80" s="6" t="inlineStr">
        <is>
          <t>F2 二层</t>
        </is>
      </c>
      <c r="B80" s="6" t="inlineStr">
        <is>
          <t>东南卧</t>
        </is>
      </c>
      <c r="C80" s="6" t="inlineStr">
        <is>
          <t>水电</t>
        </is>
      </c>
      <c r="D80" s="7" t="inlineStr">
        <is>
          <t>强弱电/点位（人工+辅材）</t>
        </is>
      </c>
      <c r="E80" s="6" t="inlineStr">
        <is>
          <t>㎡</t>
        </is>
      </c>
      <c r="F80" s="8" t="n">
        <v>8.6</v>
      </c>
      <c r="G80" s="9" t="n">
        <v>80</v>
      </c>
      <c r="H80" s="9" t="n">
        <v>120</v>
      </c>
      <c r="I80" s="9">
        <f>ROUND(F80*G80,0)</f>
        <v/>
      </c>
      <c r="J80" s="10">
        <f>ROUND(F80*H80,0)</f>
        <v/>
      </c>
    </row>
    <row r="81">
      <c r="A81" s="6" t="inlineStr">
        <is>
          <t>F2 二层</t>
        </is>
      </c>
      <c r="B81" s="6" t="inlineStr">
        <is>
          <t>东南卧</t>
        </is>
      </c>
      <c r="C81" s="6" t="inlineStr">
        <is>
          <t>泥瓦</t>
        </is>
      </c>
      <c r="D81" s="7" t="inlineStr">
        <is>
          <t>地面找平</t>
        </is>
      </c>
      <c r="E81" s="6" t="inlineStr">
        <is>
          <t>㎡</t>
        </is>
      </c>
      <c r="F81" s="8" t="n">
        <v>8.6</v>
      </c>
      <c r="G81" s="9" t="n">
        <v>25</v>
      </c>
      <c r="H81" s="9" t="n">
        <v>40</v>
      </c>
      <c r="I81" s="9">
        <f>ROUND(F81*G81,0)</f>
        <v/>
      </c>
      <c r="J81" s="10">
        <f>ROUND(F81*H81,0)</f>
        <v/>
      </c>
    </row>
    <row r="82">
      <c r="A82" s="6" t="inlineStr">
        <is>
          <t>F2 二层</t>
        </is>
      </c>
      <c r="B82" s="6" t="inlineStr">
        <is>
          <t>东南卧</t>
        </is>
      </c>
      <c r="C82" s="6" t="inlineStr">
        <is>
          <t>木工</t>
        </is>
      </c>
      <c r="D82" s="7" t="inlineStr">
        <is>
          <t>石膏顶角线/窗帘盒</t>
        </is>
      </c>
      <c r="E82" s="6" t="inlineStr">
        <is>
          <t>m</t>
        </is>
      </c>
      <c r="F82" s="8" t="n">
        <v>12.4</v>
      </c>
      <c r="G82" s="9" t="n">
        <v>15</v>
      </c>
      <c r="H82" s="9" t="n">
        <v>28</v>
      </c>
      <c r="I82" s="9">
        <f>ROUND(F82*G82,0)</f>
        <v/>
      </c>
      <c r="J82" s="10">
        <f>ROUND(F82*H82,0)</f>
        <v/>
      </c>
    </row>
    <row r="83">
      <c r="A83" s="6" t="inlineStr">
        <is>
          <t>F2 二层</t>
        </is>
      </c>
      <c r="B83" s="6" t="inlineStr">
        <is>
          <t>东南卧</t>
        </is>
      </c>
      <c r="C83" s="6" t="inlineStr">
        <is>
          <t>油漆</t>
        </is>
      </c>
      <c r="D83" s="7" t="inlineStr">
        <is>
          <t>墙面腻子+乳胶漆</t>
        </is>
      </c>
      <c r="E83" s="6" t="inlineStr">
        <is>
          <t>㎡</t>
        </is>
      </c>
      <c r="F83" s="8" t="n">
        <v>33</v>
      </c>
      <c r="G83" s="9" t="n">
        <v>30</v>
      </c>
      <c r="H83" s="9" t="n">
        <v>45</v>
      </c>
      <c r="I83" s="9">
        <f>ROUND(F83*G83,0)</f>
        <v/>
      </c>
      <c r="J83" s="10">
        <f>ROUND(F83*H83,0)</f>
        <v/>
      </c>
    </row>
    <row r="84">
      <c r="A84" s="6" t="inlineStr">
        <is>
          <t>F2 二层</t>
        </is>
      </c>
      <c r="B84" s="6" t="inlineStr">
        <is>
          <t>东南卧</t>
        </is>
      </c>
      <c r="C84" s="6" t="inlineStr">
        <is>
          <t>主材安装</t>
        </is>
      </c>
      <c r="D84" s="7" t="inlineStr">
        <is>
          <t>多层实木地板（原木色，含安装）</t>
        </is>
      </c>
      <c r="E84" s="6" t="inlineStr">
        <is>
          <t>㎡</t>
        </is>
      </c>
      <c r="F84" s="8" t="n">
        <v>9.1</v>
      </c>
      <c r="G84" s="9" t="n">
        <v>260</v>
      </c>
      <c r="H84" s="9" t="n">
        <v>450</v>
      </c>
      <c r="I84" s="9">
        <f>ROUND(F84*G84,0)</f>
        <v/>
      </c>
      <c r="J84" s="10">
        <f>ROUND(F84*H84,0)</f>
        <v/>
      </c>
    </row>
    <row r="85">
      <c r="A85" s="6" t="inlineStr">
        <is>
          <t>F2 二层</t>
        </is>
      </c>
      <c r="B85" s="6" t="inlineStr">
        <is>
          <t>东南卧</t>
        </is>
      </c>
      <c r="C85" s="6" t="inlineStr">
        <is>
          <t>主材安装</t>
        </is>
      </c>
      <c r="D85" s="7" t="inlineStr">
        <is>
          <t>实木复合门（含套锁五金）</t>
        </is>
      </c>
      <c r="E85" s="6" t="inlineStr">
        <is>
          <t>樘</t>
        </is>
      </c>
      <c r="F85" s="8" t="n">
        <v>1</v>
      </c>
      <c r="G85" s="9" t="n">
        <v>1300</v>
      </c>
      <c r="H85" s="9" t="n">
        <v>2200</v>
      </c>
      <c r="I85" s="9">
        <f>ROUND(F85*G85,0)</f>
        <v/>
      </c>
      <c r="J85" s="10">
        <f>ROUND(F85*H85,0)</f>
        <v/>
      </c>
    </row>
    <row r="86">
      <c r="A86" s="6" t="inlineStr">
        <is>
          <t>F2 二层</t>
        </is>
      </c>
      <c r="B86" s="6" t="inlineStr">
        <is>
          <t>西卫</t>
        </is>
      </c>
      <c r="C86" s="6" t="inlineStr">
        <is>
          <t>拆改</t>
        </is>
      </c>
      <c r="D86" s="7" t="inlineStr">
        <is>
          <t>铲墙皮/界面处理</t>
        </is>
      </c>
      <c r="E86" s="6" t="inlineStr">
        <is>
          <t>㎡</t>
        </is>
      </c>
      <c r="F86" s="8" t="n">
        <v>22</v>
      </c>
      <c r="G86" s="9" t="n">
        <v>7</v>
      </c>
      <c r="H86" s="9" t="n">
        <v>16</v>
      </c>
      <c r="I86" s="9">
        <f>ROUND(F86*G86,0)</f>
        <v/>
      </c>
      <c r="J86" s="10">
        <f>ROUND(F86*H86,0)</f>
        <v/>
      </c>
    </row>
    <row r="87">
      <c r="A87" s="6" t="inlineStr">
        <is>
          <t>F2 二层</t>
        </is>
      </c>
      <c r="B87" s="6" t="inlineStr">
        <is>
          <t>西卫</t>
        </is>
      </c>
      <c r="C87" s="6" t="inlineStr">
        <is>
          <t>水电</t>
        </is>
      </c>
      <c r="D87" s="7" t="inlineStr">
        <is>
          <t>给排水+电位（人工+辅材）</t>
        </is>
      </c>
      <c r="E87" s="6" t="inlineStr">
        <is>
          <t>㎡</t>
        </is>
      </c>
      <c r="F87" s="8" t="n">
        <v>4.75</v>
      </c>
      <c r="G87" s="9" t="n">
        <v>180</v>
      </c>
      <c r="H87" s="9" t="n">
        <v>280</v>
      </c>
      <c r="I87" s="9">
        <f>ROUND(F87*G87,0)</f>
        <v/>
      </c>
      <c r="J87" s="10">
        <f>ROUND(F87*H87,0)</f>
        <v/>
      </c>
    </row>
    <row r="88">
      <c r="A88" s="6" t="inlineStr">
        <is>
          <t>F2 二层</t>
        </is>
      </c>
      <c r="B88" s="6" t="inlineStr">
        <is>
          <t>西卫</t>
        </is>
      </c>
      <c r="C88" s="6" t="inlineStr">
        <is>
          <t>泥瓦</t>
        </is>
      </c>
      <c r="D88" s="7" t="inlineStr">
        <is>
          <t>防水（地面+墙面1.8m）</t>
        </is>
      </c>
      <c r="E88" s="6" t="inlineStr">
        <is>
          <t>㎡</t>
        </is>
      </c>
      <c r="F88" s="8" t="n">
        <v>20.5</v>
      </c>
      <c r="G88" s="9" t="n">
        <v>70</v>
      </c>
      <c r="H88" s="9" t="n">
        <v>110</v>
      </c>
      <c r="I88" s="9">
        <f>ROUND(F88*G88,0)</f>
        <v/>
      </c>
      <c r="J88" s="10">
        <f>ROUND(F88*H88,0)</f>
        <v/>
      </c>
    </row>
    <row r="89">
      <c r="A89" s="6" t="inlineStr">
        <is>
          <t>F2 二层</t>
        </is>
      </c>
      <c r="B89" s="6" t="inlineStr">
        <is>
          <t>西卫</t>
        </is>
      </c>
      <c r="C89" s="6" t="inlineStr">
        <is>
          <t>泥瓦</t>
        </is>
      </c>
      <c r="D89" s="7" t="inlineStr">
        <is>
          <t>找平/拉毛</t>
        </is>
      </c>
      <c r="E89" s="6" t="inlineStr">
        <is>
          <t>㎡</t>
        </is>
      </c>
      <c r="F89" s="8" t="n">
        <v>8</v>
      </c>
      <c r="G89" s="9" t="n">
        <v>30</v>
      </c>
      <c r="H89" s="9" t="n">
        <v>50</v>
      </c>
      <c r="I89" s="9">
        <f>ROUND(F89*G89,0)</f>
        <v/>
      </c>
      <c r="J89" s="10">
        <f>ROUND(F89*H89,0)</f>
        <v/>
      </c>
    </row>
    <row r="90">
      <c r="A90" s="6" t="inlineStr">
        <is>
          <t>F2 二层</t>
        </is>
      </c>
      <c r="B90" s="6" t="inlineStr">
        <is>
          <t>西卫</t>
        </is>
      </c>
      <c r="C90" s="6" t="inlineStr">
        <is>
          <t>泥瓦</t>
        </is>
      </c>
      <c r="D90" s="7" t="inlineStr">
        <is>
          <t>贴墙砖（人工）</t>
        </is>
      </c>
      <c r="E90" s="6" t="inlineStr">
        <is>
          <t>㎡</t>
        </is>
      </c>
      <c r="F90" s="8" t="n">
        <v>22</v>
      </c>
      <c r="G90" s="9" t="n">
        <v>45</v>
      </c>
      <c r="H90" s="9" t="n">
        <v>65</v>
      </c>
      <c r="I90" s="9">
        <f>ROUND(F90*G90,0)</f>
        <v/>
      </c>
      <c r="J90" s="10">
        <f>ROUND(F90*H90,0)</f>
        <v/>
      </c>
    </row>
    <row r="91">
      <c r="A91" s="6" t="inlineStr">
        <is>
          <t>F2 二层</t>
        </is>
      </c>
      <c r="B91" s="6" t="inlineStr">
        <is>
          <t>西卫</t>
        </is>
      </c>
      <c r="C91" s="6" t="inlineStr">
        <is>
          <t>泥瓦</t>
        </is>
      </c>
      <c r="D91" s="7" t="inlineStr">
        <is>
          <t>贴地砖（人工）</t>
        </is>
      </c>
      <c r="E91" s="6" t="inlineStr">
        <is>
          <t>㎡</t>
        </is>
      </c>
      <c r="F91" s="8" t="n">
        <v>4.75</v>
      </c>
      <c r="G91" s="9" t="n">
        <v>40</v>
      </c>
      <c r="H91" s="9" t="n">
        <v>60</v>
      </c>
      <c r="I91" s="9">
        <f>ROUND(F91*G91,0)</f>
        <v/>
      </c>
      <c r="J91" s="10">
        <f>ROUND(F91*H91,0)</f>
        <v/>
      </c>
    </row>
    <row r="92">
      <c r="A92" s="6" t="inlineStr">
        <is>
          <t>F2 二层</t>
        </is>
      </c>
      <c r="B92" s="6" t="inlineStr">
        <is>
          <t>西卫</t>
        </is>
      </c>
      <c r="C92" s="6" t="inlineStr">
        <is>
          <t>木工</t>
        </is>
      </c>
      <c r="D92" s="7" t="inlineStr">
        <is>
          <t>铝扣板吊顶</t>
        </is>
      </c>
      <c r="E92" s="6" t="inlineStr">
        <is>
          <t>㎡</t>
        </is>
      </c>
      <c r="F92" s="8" t="n">
        <v>4.75</v>
      </c>
      <c r="G92" s="9" t="n">
        <v>110</v>
      </c>
      <c r="H92" s="9" t="n">
        <v>180</v>
      </c>
      <c r="I92" s="9">
        <f>ROUND(F92*G92,0)</f>
        <v/>
      </c>
      <c r="J92" s="10">
        <f>ROUND(F92*H92,0)</f>
        <v/>
      </c>
    </row>
    <row r="93">
      <c r="A93" s="6" t="inlineStr">
        <is>
          <t>F2 二层</t>
        </is>
      </c>
      <c r="B93" s="6" t="inlineStr">
        <is>
          <t>西卫</t>
        </is>
      </c>
      <c r="C93" s="6" t="inlineStr">
        <is>
          <t>主材安装</t>
        </is>
      </c>
      <c r="D93" s="7" t="inlineStr">
        <is>
          <t>墙地砖（材料）</t>
        </is>
      </c>
      <c r="E93" s="6" t="inlineStr">
        <is>
          <t>㎡</t>
        </is>
      </c>
      <c r="F93" s="8" t="n">
        <v>29.5</v>
      </c>
      <c r="G93" s="9" t="n">
        <v>90</v>
      </c>
      <c r="H93" s="9" t="n">
        <v>170</v>
      </c>
      <c r="I93" s="9">
        <f>ROUND(F93*G93,0)</f>
        <v/>
      </c>
      <c r="J93" s="10">
        <f>ROUND(F93*H93,0)</f>
        <v/>
      </c>
    </row>
    <row r="94">
      <c r="A94" s="6" t="inlineStr">
        <is>
          <t>F2 二层</t>
        </is>
      </c>
      <c r="B94" s="6" t="inlineStr">
        <is>
          <t>西卫</t>
        </is>
      </c>
      <c r="C94" s="6" t="inlineStr">
        <is>
          <t>主材安装</t>
        </is>
      </c>
      <c r="D94" s="7" t="inlineStr">
        <is>
          <t>原木浴室柜（含台盆）</t>
        </is>
      </c>
      <c r="E94" s="6" t="inlineStr">
        <is>
          <t>套</t>
        </is>
      </c>
      <c r="F94" s="8" t="n">
        <v>1</v>
      </c>
      <c r="G94" s="9" t="n">
        <v>900</v>
      </c>
      <c r="H94" s="9" t="n">
        <v>1800</v>
      </c>
      <c r="I94" s="9">
        <f>ROUND(F94*G94,0)</f>
        <v/>
      </c>
      <c r="J94" s="10">
        <f>ROUND(F94*H94,0)</f>
        <v/>
      </c>
    </row>
    <row r="95">
      <c r="A95" s="6" t="inlineStr">
        <is>
          <t>F2 二层</t>
        </is>
      </c>
      <c r="B95" s="6" t="inlineStr">
        <is>
          <t>西卫</t>
        </is>
      </c>
      <c r="C95" s="6" t="inlineStr">
        <is>
          <t>主材安装</t>
        </is>
      </c>
      <c r="D95" s="7" t="inlineStr">
        <is>
          <t>坐便器</t>
        </is>
      </c>
      <c r="E95" s="6" t="inlineStr">
        <is>
          <t>套</t>
        </is>
      </c>
      <c r="F95" s="8" t="n">
        <v>1</v>
      </c>
      <c r="G95" s="9" t="n">
        <v>1000</v>
      </c>
      <c r="H95" s="9" t="n">
        <v>3000</v>
      </c>
      <c r="I95" s="9">
        <f>ROUND(F95*G95,0)</f>
        <v/>
      </c>
      <c r="J95" s="10">
        <f>ROUND(F95*H95,0)</f>
        <v/>
      </c>
    </row>
    <row r="96">
      <c r="A96" s="6" t="inlineStr">
        <is>
          <t>F2 二层</t>
        </is>
      </c>
      <c r="B96" s="6" t="inlineStr">
        <is>
          <t>西卫</t>
        </is>
      </c>
      <c r="C96" s="6" t="inlineStr">
        <is>
          <t>主材安装</t>
        </is>
      </c>
      <c r="D96" s="7" t="inlineStr">
        <is>
          <t>淋浴花洒</t>
        </is>
      </c>
      <c r="E96" s="6" t="inlineStr">
        <is>
          <t>套</t>
        </is>
      </c>
      <c r="F96" s="8" t="n">
        <v>1</v>
      </c>
      <c r="G96" s="9" t="n">
        <v>1000</v>
      </c>
      <c r="H96" s="9" t="n">
        <v>3000</v>
      </c>
      <c r="I96" s="9">
        <f>ROUND(F96*G96,0)</f>
        <v/>
      </c>
      <c r="J96" s="10">
        <f>ROUND(F96*H96,0)</f>
        <v/>
      </c>
    </row>
    <row r="97">
      <c r="A97" s="6" t="inlineStr">
        <is>
          <t>F2 二层</t>
        </is>
      </c>
      <c r="B97" s="6" t="inlineStr">
        <is>
          <t>西卫</t>
        </is>
      </c>
      <c r="C97" s="6" t="inlineStr">
        <is>
          <t>主材安装</t>
        </is>
      </c>
      <c r="D97" s="7" t="inlineStr">
        <is>
          <t>五金挂件/地漏</t>
        </is>
      </c>
      <c r="E97" s="6" t="inlineStr">
        <is>
          <t>套</t>
        </is>
      </c>
      <c r="F97" s="8" t="n">
        <v>1</v>
      </c>
      <c r="G97" s="9" t="n">
        <v>400</v>
      </c>
      <c r="H97" s="9" t="n">
        <v>1000</v>
      </c>
      <c r="I97" s="9">
        <f>ROUND(F97*G97,0)</f>
        <v/>
      </c>
      <c r="J97" s="10">
        <f>ROUND(F97*H97,0)</f>
        <v/>
      </c>
    </row>
    <row r="98">
      <c r="A98" s="6" t="inlineStr">
        <is>
          <t>F2 二层</t>
        </is>
      </c>
      <c r="B98" s="6" t="inlineStr">
        <is>
          <t>东北公卫</t>
        </is>
      </c>
      <c r="C98" s="6" t="inlineStr">
        <is>
          <t>拆改</t>
        </is>
      </c>
      <c r="D98" s="7" t="inlineStr">
        <is>
          <t>铲墙皮/界面处理</t>
        </is>
      </c>
      <c r="E98" s="6" t="inlineStr">
        <is>
          <t>㎡</t>
        </is>
      </c>
      <c r="F98" s="8" t="n">
        <v>19</v>
      </c>
      <c r="G98" s="9" t="n">
        <v>7</v>
      </c>
      <c r="H98" s="9" t="n">
        <v>16</v>
      </c>
      <c r="I98" s="9">
        <f>ROUND(F98*G98,0)</f>
        <v/>
      </c>
      <c r="J98" s="10">
        <f>ROUND(F98*H98,0)</f>
        <v/>
      </c>
    </row>
    <row r="99">
      <c r="A99" s="6" t="inlineStr">
        <is>
          <t>F2 二层</t>
        </is>
      </c>
      <c r="B99" s="6" t="inlineStr">
        <is>
          <t>东北公卫</t>
        </is>
      </c>
      <c r="C99" s="6" t="inlineStr">
        <is>
          <t>水电</t>
        </is>
      </c>
      <c r="D99" s="7" t="inlineStr">
        <is>
          <t>给排水+电位（人工+辅材）</t>
        </is>
      </c>
      <c r="E99" s="6" t="inlineStr">
        <is>
          <t>㎡</t>
        </is>
      </c>
      <c r="F99" s="8" t="n">
        <v>3.25</v>
      </c>
      <c r="G99" s="9" t="n">
        <v>180</v>
      </c>
      <c r="H99" s="9" t="n">
        <v>280</v>
      </c>
      <c r="I99" s="9">
        <f>ROUND(F99*G99,0)</f>
        <v/>
      </c>
      <c r="J99" s="10">
        <f>ROUND(F99*H99,0)</f>
        <v/>
      </c>
    </row>
    <row r="100">
      <c r="A100" s="6" t="inlineStr">
        <is>
          <t>F2 二层</t>
        </is>
      </c>
      <c r="B100" s="6" t="inlineStr">
        <is>
          <t>东北公卫</t>
        </is>
      </c>
      <c r="C100" s="6" t="inlineStr">
        <is>
          <t>泥瓦</t>
        </is>
      </c>
      <c r="D100" s="7" t="inlineStr">
        <is>
          <t>防水（地面+墙面1.8m）</t>
        </is>
      </c>
      <c r="E100" s="6" t="inlineStr">
        <is>
          <t>㎡</t>
        </is>
      </c>
      <c r="F100" s="8" t="n">
        <v>17</v>
      </c>
      <c r="G100" s="9" t="n">
        <v>70</v>
      </c>
      <c r="H100" s="9" t="n">
        <v>110</v>
      </c>
      <c r="I100" s="9">
        <f>ROUND(F100*G100,0)</f>
        <v/>
      </c>
      <c r="J100" s="10">
        <f>ROUND(F100*H100,0)</f>
        <v/>
      </c>
    </row>
    <row r="101">
      <c r="A101" s="6" t="inlineStr">
        <is>
          <t>F2 二层</t>
        </is>
      </c>
      <c r="B101" s="6" t="inlineStr">
        <is>
          <t>东北公卫</t>
        </is>
      </c>
      <c r="C101" s="6" t="inlineStr">
        <is>
          <t>泥瓦</t>
        </is>
      </c>
      <c r="D101" s="7" t="inlineStr">
        <is>
          <t>找平/拉毛</t>
        </is>
      </c>
      <c r="E101" s="6" t="inlineStr">
        <is>
          <t>㎡</t>
        </is>
      </c>
      <c r="F101" s="8" t="n">
        <v>6</v>
      </c>
      <c r="G101" s="9" t="n">
        <v>30</v>
      </c>
      <c r="H101" s="9" t="n">
        <v>50</v>
      </c>
      <c r="I101" s="9">
        <f>ROUND(F101*G101,0)</f>
        <v/>
      </c>
      <c r="J101" s="10">
        <f>ROUND(F101*H101,0)</f>
        <v/>
      </c>
    </row>
    <row r="102">
      <c r="A102" s="6" t="inlineStr">
        <is>
          <t>F2 二层</t>
        </is>
      </c>
      <c r="B102" s="6" t="inlineStr">
        <is>
          <t>东北公卫</t>
        </is>
      </c>
      <c r="C102" s="6" t="inlineStr">
        <is>
          <t>泥瓦</t>
        </is>
      </c>
      <c r="D102" s="7" t="inlineStr">
        <is>
          <t>贴墙砖（人工）</t>
        </is>
      </c>
      <c r="E102" s="6" t="inlineStr">
        <is>
          <t>㎡</t>
        </is>
      </c>
      <c r="F102" s="8" t="n">
        <v>19</v>
      </c>
      <c r="G102" s="9" t="n">
        <v>45</v>
      </c>
      <c r="H102" s="9" t="n">
        <v>65</v>
      </c>
      <c r="I102" s="9">
        <f>ROUND(F102*G102,0)</f>
        <v/>
      </c>
      <c r="J102" s="10">
        <f>ROUND(F102*H102,0)</f>
        <v/>
      </c>
    </row>
    <row r="103">
      <c r="A103" s="6" t="inlineStr">
        <is>
          <t>F2 二层</t>
        </is>
      </c>
      <c r="B103" s="6" t="inlineStr">
        <is>
          <t>东北公卫</t>
        </is>
      </c>
      <c r="C103" s="6" t="inlineStr">
        <is>
          <t>泥瓦</t>
        </is>
      </c>
      <c r="D103" s="7" t="inlineStr">
        <is>
          <t>贴地砖（人工）</t>
        </is>
      </c>
      <c r="E103" s="6" t="inlineStr">
        <is>
          <t>㎡</t>
        </is>
      </c>
      <c r="F103" s="8" t="n">
        <v>3.25</v>
      </c>
      <c r="G103" s="9" t="n">
        <v>40</v>
      </c>
      <c r="H103" s="9" t="n">
        <v>60</v>
      </c>
      <c r="I103" s="9">
        <f>ROUND(F103*G103,0)</f>
        <v/>
      </c>
      <c r="J103" s="10">
        <f>ROUND(F103*H103,0)</f>
        <v/>
      </c>
    </row>
    <row r="104">
      <c r="A104" s="6" t="inlineStr">
        <is>
          <t>F2 二层</t>
        </is>
      </c>
      <c r="B104" s="6" t="inlineStr">
        <is>
          <t>东北公卫</t>
        </is>
      </c>
      <c r="C104" s="6" t="inlineStr">
        <is>
          <t>木工</t>
        </is>
      </c>
      <c r="D104" s="7" t="inlineStr">
        <is>
          <t>铝扣板吊顶</t>
        </is>
      </c>
      <c r="E104" s="6" t="inlineStr">
        <is>
          <t>㎡</t>
        </is>
      </c>
      <c r="F104" s="8" t="n">
        <v>3.25</v>
      </c>
      <c r="G104" s="9" t="n">
        <v>110</v>
      </c>
      <c r="H104" s="9" t="n">
        <v>180</v>
      </c>
      <c r="I104" s="9">
        <f>ROUND(F104*G104,0)</f>
        <v/>
      </c>
      <c r="J104" s="10">
        <f>ROUND(F104*H104,0)</f>
        <v/>
      </c>
    </row>
    <row r="105">
      <c r="A105" s="6" t="inlineStr">
        <is>
          <t>F2 二层</t>
        </is>
      </c>
      <c r="B105" s="6" t="inlineStr">
        <is>
          <t>东北公卫</t>
        </is>
      </c>
      <c r="C105" s="6" t="inlineStr">
        <is>
          <t>主材安装</t>
        </is>
      </c>
      <c r="D105" s="7" t="inlineStr">
        <is>
          <t>墙地砖（材料）</t>
        </is>
      </c>
      <c r="E105" s="6" t="inlineStr">
        <is>
          <t>㎡</t>
        </is>
      </c>
      <c r="F105" s="8" t="n">
        <v>24</v>
      </c>
      <c r="G105" s="9" t="n">
        <v>90</v>
      </c>
      <c r="H105" s="9" t="n">
        <v>170</v>
      </c>
      <c r="I105" s="9">
        <f>ROUND(F105*G105,0)</f>
        <v/>
      </c>
      <c r="J105" s="10">
        <f>ROUND(F105*H105,0)</f>
        <v/>
      </c>
    </row>
    <row r="106">
      <c r="A106" s="6" t="inlineStr">
        <is>
          <t>F2 二层</t>
        </is>
      </c>
      <c r="B106" s="6" t="inlineStr">
        <is>
          <t>东北公卫</t>
        </is>
      </c>
      <c r="C106" s="6" t="inlineStr">
        <is>
          <t>主材安装</t>
        </is>
      </c>
      <c r="D106" s="7" t="inlineStr">
        <is>
          <t>原木浴室柜（含台盆）</t>
        </is>
      </c>
      <c r="E106" s="6" t="inlineStr">
        <is>
          <t>套</t>
        </is>
      </c>
      <c r="F106" s="8" t="n">
        <v>1</v>
      </c>
      <c r="G106" s="9" t="n">
        <v>900</v>
      </c>
      <c r="H106" s="9" t="n">
        <v>1800</v>
      </c>
      <c r="I106" s="9">
        <f>ROUND(F106*G106,0)</f>
        <v/>
      </c>
      <c r="J106" s="10">
        <f>ROUND(F106*H106,0)</f>
        <v/>
      </c>
    </row>
    <row r="107">
      <c r="A107" s="6" t="inlineStr">
        <is>
          <t>F2 二层</t>
        </is>
      </c>
      <c r="B107" s="6" t="inlineStr">
        <is>
          <t>东北公卫</t>
        </is>
      </c>
      <c r="C107" s="6" t="inlineStr">
        <is>
          <t>主材安装</t>
        </is>
      </c>
      <c r="D107" s="7" t="inlineStr">
        <is>
          <t>坐便器</t>
        </is>
      </c>
      <c r="E107" s="6" t="inlineStr">
        <is>
          <t>套</t>
        </is>
      </c>
      <c r="F107" s="8" t="n">
        <v>1</v>
      </c>
      <c r="G107" s="9" t="n">
        <v>1000</v>
      </c>
      <c r="H107" s="9" t="n">
        <v>3000</v>
      </c>
      <c r="I107" s="9">
        <f>ROUND(F107*G107,0)</f>
        <v/>
      </c>
      <c r="J107" s="10">
        <f>ROUND(F107*H107,0)</f>
        <v/>
      </c>
    </row>
    <row r="108">
      <c r="A108" s="6" t="inlineStr">
        <is>
          <t>F2 二层</t>
        </is>
      </c>
      <c r="B108" s="6" t="inlineStr">
        <is>
          <t>东北公卫</t>
        </is>
      </c>
      <c r="C108" s="6" t="inlineStr">
        <is>
          <t>主材安装</t>
        </is>
      </c>
      <c r="D108" s="7" t="inlineStr">
        <is>
          <t>淋浴花洒</t>
        </is>
      </c>
      <c r="E108" s="6" t="inlineStr">
        <is>
          <t>套</t>
        </is>
      </c>
      <c r="F108" s="8" t="n">
        <v>1</v>
      </c>
      <c r="G108" s="9" t="n">
        <v>1000</v>
      </c>
      <c r="H108" s="9" t="n">
        <v>3000</v>
      </c>
      <c r="I108" s="9">
        <f>ROUND(F108*G108,0)</f>
        <v/>
      </c>
      <c r="J108" s="10">
        <f>ROUND(F108*H108,0)</f>
        <v/>
      </c>
    </row>
    <row r="109">
      <c r="A109" s="6" t="inlineStr">
        <is>
          <t>F2 二层</t>
        </is>
      </c>
      <c r="B109" s="6" t="inlineStr">
        <is>
          <t>东北公卫</t>
        </is>
      </c>
      <c r="C109" s="6" t="inlineStr">
        <is>
          <t>主材安装</t>
        </is>
      </c>
      <c r="D109" s="7" t="inlineStr">
        <is>
          <t>五金挂件/地漏</t>
        </is>
      </c>
      <c r="E109" s="6" t="inlineStr">
        <is>
          <t>套</t>
        </is>
      </c>
      <c r="F109" s="8" t="n">
        <v>1</v>
      </c>
      <c r="G109" s="9" t="n">
        <v>400</v>
      </c>
      <c r="H109" s="9" t="n">
        <v>1000</v>
      </c>
      <c r="I109" s="9">
        <f>ROUND(F109*G109,0)</f>
        <v/>
      </c>
      <c r="J109" s="10">
        <f>ROUND(F109*H109,0)</f>
        <v/>
      </c>
    </row>
    <row r="110">
      <c r="A110" s="6" t="inlineStr">
        <is>
          <t>F2 二层</t>
        </is>
      </c>
      <c r="B110" s="6" t="inlineStr">
        <is>
          <t>衣帽间</t>
        </is>
      </c>
      <c r="C110" s="6" t="inlineStr">
        <is>
          <t>拆改</t>
        </is>
      </c>
      <c r="D110" s="7" t="inlineStr">
        <is>
          <t>铲墙皮/界面处理</t>
        </is>
      </c>
      <c r="E110" s="6" t="inlineStr">
        <is>
          <t>㎡</t>
        </is>
      </c>
      <c r="F110" s="8" t="n">
        <v>21.7</v>
      </c>
      <c r="G110" s="9" t="n">
        <v>7</v>
      </c>
      <c r="H110" s="9" t="n">
        <v>16</v>
      </c>
      <c r="I110" s="9">
        <f>ROUND(F110*G110,0)</f>
        <v/>
      </c>
      <c r="J110" s="10">
        <f>ROUND(F110*H110,0)</f>
        <v/>
      </c>
    </row>
    <row r="111">
      <c r="A111" s="6" t="inlineStr">
        <is>
          <t>F2 二层</t>
        </is>
      </c>
      <c r="B111" s="6" t="inlineStr">
        <is>
          <t>衣帽间</t>
        </is>
      </c>
      <c r="C111" s="6" t="inlineStr">
        <is>
          <t>水电</t>
        </is>
      </c>
      <c r="D111" s="7" t="inlineStr">
        <is>
          <t>照明/点位（人工+辅材）</t>
        </is>
      </c>
      <c r="E111" s="6" t="inlineStr">
        <is>
          <t>㎡</t>
        </is>
      </c>
      <c r="F111" s="8" t="n">
        <v>3.24</v>
      </c>
      <c r="G111" s="9" t="n">
        <v>80</v>
      </c>
      <c r="H111" s="9" t="n">
        <v>120</v>
      </c>
      <c r="I111" s="9">
        <f>ROUND(F111*G111,0)</f>
        <v/>
      </c>
      <c r="J111" s="10">
        <f>ROUND(F111*H111,0)</f>
        <v/>
      </c>
    </row>
    <row r="112">
      <c r="A112" s="6" t="inlineStr">
        <is>
          <t>F2 二层</t>
        </is>
      </c>
      <c r="B112" s="6" t="inlineStr">
        <is>
          <t>衣帽间</t>
        </is>
      </c>
      <c r="C112" s="6" t="inlineStr">
        <is>
          <t>泥瓦</t>
        </is>
      </c>
      <c r="D112" s="7" t="inlineStr">
        <is>
          <t>地面找平</t>
        </is>
      </c>
      <c r="E112" s="6" t="inlineStr">
        <is>
          <t>㎡</t>
        </is>
      </c>
      <c r="F112" s="8" t="n">
        <v>3.24</v>
      </c>
      <c r="G112" s="9" t="n">
        <v>25</v>
      </c>
      <c r="H112" s="9" t="n">
        <v>40</v>
      </c>
      <c r="I112" s="9">
        <f>ROUND(F112*G112,0)</f>
        <v/>
      </c>
      <c r="J112" s="10">
        <f>ROUND(F112*H112,0)</f>
        <v/>
      </c>
    </row>
    <row r="113">
      <c r="A113" s="6" t="inlineStr">
        <is>
          <t>F2 二层</t>
        </is>
      </c>
      <c r="B113" s="6" t="inlineStr">
        <is>
          <t>衣帽间</t>
        </is>
      </c>
      <c r="C113" s="6" t="inlineStr">
        <is>
          <t>油漆</t>
        </is>
      </c>
      <c r="D113" s="7" t="inlineStr">
        <is>
          <t>墙面腻子+乳胶漆</t>
        </is>
      </c>
      <c r="E113" s="6" t="inlineStr">
        <is>
          <t>㎡</t>
        </is>
      </c>
      <c r="F113" s="8" t="n">
        <v>21.7</v>
      </c>
      <c r="G113" s="9" t="n">
        <v>30</v>
      </c>
      <c r="H113" s="9" t="n">
        <v>45</v>
      </c>
      <c r="I113" s="9">
        <f>ROUND(F113*G113,0)</f>
        <v/>
      </c>
      <c r="J113" s="10">
        <f>ROUND(F113*H113,0)</f>
        <v/>
      </c>
    </row>
    <row r="114">
      <c r="A114" s="6" t="inlineStr">
        <is>
          <t>F2 二层</t>
        </is>
      </c>
      <c r="B114" s="6" t="inlineStr">
        <is>
          <t>衣帽间</t>
        </is>
      </c>
      <c r="C114" s="6" t="inlineStr">
        <is>
          <t>主材安装</t>
        </is>
      </c>
      <c r="D114" s="7" t="inlineStr">
        <is>
          <t>多层实木地板（原木色，含安装）</t>
        </is>
      </c>
      <c r="E114" s="6" t="inlineStr">
        <is>
          <t>㎡</t>
        </is>
      </c>
      <c r="F114" s="8" t="n">
        <v>3.4</v>
      </c>
      <c r="G114" s="9" t="n">
        <v>260</v>
      </c>
      <c r="H114" s="9" t="n">
        <v>450</v>
      </c>
      <c r="I114" s="9">
        <f>ROUND(F114*G114,0)</f>
        <v/>
      </c>
      <c r="J114" s="10">
        <f>ROUND(F114*H114,0)</f>
        <v/>
      </c>
    </row>
    <row r="115">
      <c r="A115" s="6" t="inlineStr">
        <is>
          <t>F2 二层</t>
        </is>
      </c>
      <c r="B115" s="6" t="inlineStr">
        <is>
          <t>衣帽间</t>
        </is>
      </c>
      <c r="C115" s="6" t="inlineStr">
        <is>
          <t>主材安装</t>
        </is>
      </c>
      <c r="D115" s="7" t="inlineStr">
        <is>
          <t>实木复合门（含套锁）</t>
        </is>
      </c>
      <c r="E115" s="6" t="inlineStr">
        <is>
          <t>樘</t>
        </is>
      </c>
      <c r="F115" s="8" t="n">
        <v>1</v>
      </c>
      <c r="G115" s="9" t="n">
        <v>1100</v>
      </c>
      <c r="H115" s="9" t="n">
        <v>1900</v>
      </c>
      <c r="I115" s="9">
        <f>ROUND(F115*G115,0)</f>
        <v/>
      </c>
      <c r="J115" s="10">
        <f>ROUND(F115*H115,0)</f>
        <v/>
      </c>
    </row>
    <row r="116">
      <c r="A116" s="6" t="inlineStr">
        <is>
          <t>F2 二层</t>
        </is>
      </c>
      <c r="B116" s="6" t="inlineStr">
        <is>
          <t>阳台</t>
        </is>
      </c>
      <c r="C116" s="6" t="inlineStr">
        <is>
          <t>泥瓦</t>
        </is>
      </c>
      <c r="D116" s="7" t="inlineStr">
        <is>
          <t>防水+排水坡度</t>
        </is>
      </c>
      <c r="E116" s="6" t="inlineStr">
        <is>
          <t>㎡</t>
        </is>
      </c>
      <c r="F116" s="8" t="n">
        <v>2.43</v>
      </c>
      <c r="G116" s="9" t="n">
        <v>70</v>
      </c>
      <c r="H116" s="9" t="n">
        <v>110</v>
      </c>
      <c r="I116" s="9">
        <f>ROUND(F116*G116,0)</f>
        <v/>
      </c>
      <c r="J116" s="10">
        <f>ROUND(F116*H116,0)</f>
        <v/>
      </c>
    </row>
    <row r="117">
      <c r="A117" s="6" t="inlineStr">
        <is>
          <t>F2 二层</t>
        </is>
      </c>
      <c r="B117" s="6" t="inlineStr">
        <is>
          <t>阳台</t>
        </is>
      </c>
      <c r="C117" s="6" t="inlineStr">
        <is>
          <t>泥瓦</t>
        </is>
      </c>
      <c r="D117" s="7" t="inlineStr">
        <is>
          <t>贴地砖（人工）</t>
        </is>
      </c>
      <c r="E117" s="6" t="inlineStr">
        <is>
          <t>㎡</t>
        </is>
      </c>
      <c r="F117" s="8" t="n">
        <v>2.43</v>
      </c>
      <c r="G117" s="9" t="n">
        <v>50</v>
      </c>
      <c r="H117" s="9" t="n">
        <v>75</v>
      </c>
      <c r="I117" s="9">
        <f>ROUND(F117*G117,0)</f>
        <v/>
      </c>
      <c r="J117" s="10">
        <f>ROUND(F117*H117,0)</f>
        <v/>
      </c>
    </row>
    <row r="118">
      <c r="A118" s="6" t="inlineStr">
        <is>
          <t>F2 二层</t>
        </is>
      </c>
      <c r="B118" s="6" t="inlineStr">
        <is>
          <t>阳台</t>
        </is>
      </c>
      <c r="C118" s="6" t="inlineStr">
        <is>
          <t>主材安装</t>
        </is>
      </c>
      <c r="D118" s="7" t="inlineStr">
        <is>
          <t>阳台仿古砖（材料）</t>
        </is>
      </c>
      <c r="E118" s="6" t="inlineStr">
        <is>
          <t>㎡</t>
        </is>
      </c>
      <c r="F118" s="8" t="n">
        <v>2.7</v>
      </c>
      <c r="G118" s="9" t="n">
        <v>90</v>
      </c>
      <c r="H118" s="9" t="n">
        <v>160</v>
      </c>
      <c r="I118" s="9">
        <f>ROUND(F118*G118,0)</f>
        <v/>
      </c>
      <c r="J118" s="10">
        <f>ROUND(F118*H118,0)</f>
        <v/>
      </c>
    </row>
    <row r="119">
      <c r="A119" s="6" t="inlineStr">
        <is>
          <t>F2 二层</t>
        </is>
      </c>
      <c r="B119" s="6" t="inlineStr">
        <is>
          <t>阳台</t>
        </is>
      </c>
      <c r="C119" s="6" t="inlineStr">
        <is>
          <t>主材安装</t>
        </is>
      </c>
      <c r="D119" s="7" t="inlineStr">
        <is>
          <t>电动晾衣架</t>
        </is>
      </c>
      <c r="E119" s="6" t="inlineStr">
        <is>
          <t>套</t>
        </is>
      </c>
      <c r="F119" s="8" t="n">
        <v>1</v>
      </c>
      <c r="G119" s="9" t="n">
        <v>600</v>
      </c>
      <c r="H119" s="9" t="n">
        <v>1500</v>
      </c>
      <c r="I119" s="9">
        <f>ROUND(F119*G119,0)</f>
        <v/>
      </c>
      <c r="J119" s="10">
        <f>ROUND(F119*H119,0)</f>
        <v/>
      </c>
    </row>
    <row r="120">
      <c r="A120" s="6" t="inlineStr">
        <is>
          <t>F2 二层</t>
        </is>
      </c>
      <c r="B120" s="6" t="inlineStr">
        <is>
          <t>楼梯/公共</t>
        </is>
      </c>
      <c r="C120" s="6" t="inlineStr">
        <is>
          <t>油漆</t>
        </is>
      </c>
      <c r="D120" s="7" t="inlineStr">
        <is>
          <t>楼梯间墙面乳胶漆</t>
        </is>
      </c>
      <c r="E120" s="6" t="inlineStr">
        <is>
          <t>㎡</t>
        </is>
      </c>
      <c r="F120" s="8" t="n">
        <v>60</v>
      </c>
      <c r="G120" s="9" t="n">
        <v>30</v>
      </c>
      <c r="H120" s="9" t="n">
        <v>45</v>
      </c>
      <c r="I120" s="9">
        <f>ROUND(F120*G120,0)</f>
        <v/>
      </c>
      <c r="J120" s="10">
        <f>ROUND(F120*H120,0)</f>
        <v/>
      </c>
    </row>
    <row r="121">
      <c r="A121" s="4" t="inlineStr">
        <is>
          <t>▼ F3 三层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6" t="inlineStr">
        <is>
          <t>F3 三层</t>
        </is>
      </c>
      <c r="B122" s="6" t="inlineStr">
        <is>
          <t>主卧</t>
        </is>
      </c>
      <c r="C122" s="6" t="inlineStr">
        <is>
          <t>拆改</t>
        </is>
      </c>
      <c r="D122" s="7" t="inlineStr">
        <is>
          <t>铲墙皮/界面处理</t>
        </is>
      </c>
      <c r="E122" s="6" t="inlineStr">
        <is>
          <t>㎡</t>
        </is>
      </c>
      <c r="F122" s="8" t="n">
        <v>54</v>
      </c>
      <c r="G122" s="9" t="n">
        <v>7</v>
      </c>
      <c r="H122" s="9" t="n">
        <v>16</v>
      </c>
      <c r="I122" s="9">
        <f>ROUND(F122*G122,0)</f>
        <v/>
      </c>
      <c r="J122" s="10">
        <f>ROUND(F122*H122,0)</f>
        <v/>
      </c>
    </row>
    <row r="123">
      <c r="A123" s="6" t="inlineStr">
        <is>
          <t>F3 三层</t>
        </is>
      </c>
      <c r="B123" s="6" t="inlineStr">
        <is>
          <t>主卧</t>
        </is>
      </c>
      <c r="C123" s="6" t="inlineStr">
        <is>
          <t>水电</t>
        </is>
      </c>
      <c r="D123" s="7" t="inlineStr">
        <is>
          <t>强弱电/点位（人工+辅材）</t>
        </is>
      </c>
      <c r="E123" s="6" t="inlineStr">
        <is>
          <t>㎡</t>
        </is>
      </c>
      <c r="F123" s="8" t="n">
        <v>25.4</v>
      </c>
      <c r="G123" s="9" t="n">
        <v>80</v>
      </c>
      <c r="H123" s="9" t="n">
        <v>120</v>
      </c>
      <c r="I123" s="9">
        <f>ROUND(F123*G123,0)</f>
        <v/>
      </c>
      <c r="J123" s="10">
        <f>ROUND(F123*H123,0)</f>
        <v/>
      </c>
    </row>
    <row r="124">
      <c r="A124" s="6" t="inlineStr">
        <is>
          <t>F3 三层</t>
        </is>
      </c>
      <c r="B124" s="6" t="inlineStr">
        <is>
          <t>主卧</t>
        </is>
      </c>
      <c r="C124" s="6" t="inlineStr">
        <is>
          <t>泥瓦</t>
        </is>
      </c>
      <c r="D124" s="7" t="inlineStr">
        <is>
          <t>地面找平</t>
        </is>
      </c>
      <c r="E124" s="6" t="inlineStr">
        <is>
          <t>㎡</t>
        </is>
      </c>
      <c r="F124" s="8" t="n">
        <v>25.4</v>
      </c>
      <c r="G124" s="9" t="n">
        <v>25</v>
      </c>
      <c r="H124" s="9" t="n">
        <v>40</v>
      </c>
      <c r="I124" s="9">
        <f>ROUND(F124*G124,0)</f>
        <v/>
      </c>
      <c r="J124" s="10">
        <f>ROUND(F124*H124,0)</f>
        <v/>
      </c>
    </row>
    <row r="125">
      <c r="A125" s="6" t="inlineStr">
        <is>
          <t>F3 三层</t>
        </is>
      </c>
      <c r="B125" s="6" t="inlineStr">
        <is>
          <t>主卧</t>
        </is>
      </c>
      <c r="C125" s="6" t="inlineStr">
        <is>
          <t>木工</t>
        </is>
      </c>
      <c r="D125" s="7" t="inlineStr">
        <is>
          <t>石膏板吊顶+窗帘盒</t>
        </is>
      </c>
      <c r="E125" s="6" t="inlineStr">
        <is>
          <t>㎡</t>
        </is>
      </c>
      <c r="F125" s="8" t="n">
        <v>25.4</v>
      </c>
      <c r="G125" s="9" t="n">
        <v>100</v>
      </c>
      <c r="H125" s="9" t="n">
        <v>160</v>
      </c>
      <c r="I125" s="9">
        <f>ROUND(F125*G125,0)</f>
        <v/>
      </c>
      <c r="J125" s="10">
        <f>ROUND(F125*H125,0)</f>
        <v/>
      </c>
    </row>
    <row r="126">
      <c r="A126" s="6" t="inlineStr">
        <is>
          <t>F3 三层</t>
        </is>
      </c>
      <c r="B126" s="6" t="inlineStr">
        <is>
          <t>主卧</t>
        </is>
      </c>
      <c r="C126" s="6" t="inlineStr">
        <is>
          <t>油漆</t>
        </is>
      </c>
      <c r="D126" s="7" t="inlineStr">
        <is>
          <t>墙面腻子+乳胶漆</t>
        </is>
      </c>
      <c r="E126" s="6" t="inlineStr">
        <is>
          <t>㎡</t>
        </is>
      </c>
      <c r="F126" s="8" t="n">
        <v>54</v>
      </c>
      <c r="G126" s="9" t="n">
        <v>30</v>
      </c>
      <c r="H126" s="9" t="n">
        <v>45</v>
      </c>
      <c r="I126" s="9">
        <f>ROUND(F126*G126,0)</f>
        <v/>
      </c>
      <c r="J126" s="10">
        <f>ROUND(F126*H126,0)</f>
        <v/>
      </c>
    </row>
    <row r="127">
      <c r="A127" s="6" t="inlineStr">
        <is>
          <t>F3 三层</t>
        </is>
      </c>
      <c r="B127" s="6" t="inlineStr">
        <is>
          <t>主卧</t>
        </is>
      </c>
      <c r="C127" s="6" t="inlineStr">
        <is>
          <t>主材安装</t>
        </is>
      </c>
      <c r="D127" s="7" t="inlineStr">
        <is>
          <t>多层实木地板（原木色，含安装）</t>
        </is>
      </c>
      <c r="E127" s="6" t="inlineStr">
        <is>
          <t>㎡</t>
        </is>
      </c>
      <c r="F127" s="8" t="n">
        <v>26.7</v>
      </c>
      <c r="G127" s="9" t="n">
        <v>260</v>
      </c>
      <c r="H127" s="9" t="n">
        <v>450</v>
      </c>
      <c r="I127" s="9">
        <f>ROUND(F127*G127,0)</f>
        <v/>
      </c>
      <c r="J127" s="10">
        <f>ROUND(F127*H127,0)</f>
        <v/>
      </c>
    </row>
    <row r="128">
      <c r="A128" s="6" t="inlineStr">
        <is>
          <t>F3 三层</t>
        </is>
      </c>
      <c r="B128" s="6" t="inlineStr">
        <is>
          <t>主卧</t>
        </is>
      </c>
      <c r="C128" s="6" t="inlineStr">
        <is>
          <t>主材安装</t>
        </is>
      </c>
      <c r="D128" s="7" t="inlineStr">
        <is>
          <t>实木复合门（含套锁五金）</t>
        </is>
      </c>
      <c r="E128" s="6" t="inlineStr">
        <is>
          <t>樘</t>
        </is>
      </c>
      <c r="F128" s="8" t="n">
        <v>1</v>
      </c>
      <c r="G128" s="9" t="n">
        <v>1300</v>
      </c>
      <c r="H128" s="9" t="n">
        <v>2200</v>
      </c>
      <c r="I128" s="9">
        <f>ROUND(F128*G128,0)</f>
        <v/>
      </c>
      <c r="J128" s="10">
        <f>ROUND(F128*H128,0)</f>
        <v/>
      </c>
    </row>
    <row r="129">
      <c r="A129" s="6" t="inlineStr">
        <is>
          <t>F3 三层</t>
        </is>
      </c>
      <c r="B129" s="6" t="inlineStr">
        <is>
          <t>主卫</t>
        </is>
      </c>
      <c r="C129" s="6" t="inlineStr">
        <is>
          <t>拆改</t>
        </is>
      </c>
      <c r="D129" s="7" t="inlineStr">
        <is>
          <t>铲墙皮/界面处理</t>
        </is>
      </c>
      <c r="E129" s="6" t="inlineStr">
        <is>
          <t>㎡</t>
        </is>
      </c>
      <c r="F129" s="8" t="n">
        <v>52</v>
      </c>
      <c r="G129" s="9" t="n">
        <v>7</v>
      </c>
      <c r="H129" s="9" t="n">
        <v>16</v>
      </c>
      <c r="I129" s="9">
        <f>ROUND(F129*G129,0)</f>
        <v/>
      </c>
      <c r="J129" s="10">
        <f>ROUND(F129*H129,0)</f>
        <v/>
      </c>
    </row>
    <row r="130">
      <c r="A130" s="6" t="inlineStr">
        <is>
          <t>F3 三层</t>
        </is>
      </c>
      <c r="B130" s="6" t="inlineStr">
        <is>
          <t>主卫</t>
        </is>
      </c>
      <c r="C130" s="6" t="inlineStr">
        <is>
          <t>水电</t>
        </is>
      </c>
      <c r="D130" s="7" t="inlineStr">
        <is>
          <t>给排水+电位（人工+辅材）</t>
        </is>
      </c>
      <c r="E130" s="6" t="inlineStr">
        <is>
          <t>㎡</t>
        </is>
      </c>
      <c r="F130" s="8" t="n">
        <v>16.9</v>
      </c>
      <c r="G130" s="9" t="n">
        <v>160</v>
      </c>
      <c r="H130" s="9" t="n">
        <v>250</v>
      </c>
      <c r="I130" s="9">
        <f>ROUND(F130*G130,0)</f>
        <v/>
      </c>
      <c r="J130" s="10">
        <f>ROUND(F130*H130,0)</f>
        <v/>
      </c>
    </row>
    <row r="131">
      <c r="A131" s="6" t="inlineStr">
        <is>
          <t>F3 三层</t>
        </is>
      </c>
      <c r="B131" s="6" t="inlineStr">
        <is>
          <t>主卫</t>
        </is>
      </c>
      <c r="C131" s="6" t="inlineStr">
        <is>
          <t>泥瓦</t>
        </is>
      </c>
      <c r="D131" s="7" t="inlineStr">
        <is>
          <t>防水（地面+墙面1.8m）</t>
        </is>
      </c>
      <c r="E131" s="6" t="inlineStr">
        <is>
          <t>㎡</t>
        </is>
      </c>
      <c r="F131" s="8" t="n">
        <v>48</v>
      </c>
      <c r="G131" s="9" t="n">
        <v>70</v>
      </c>
      <c r="H131" s="9" t="n">
        <v>110</v>
      </c>
      <c r="I131" s="9">
        <f>ROUND(F131*G131,0)</f>
        <v/>
      </c>
      <c r="J131" s="10">
        <f>ROUND(F131*H131,0)</f>
        <v/>
      </c>
    </row>
    <row r="132">
      <c r="A132" s="6" t="inlineStr">
        <is>
          <t>F3 三层</t>
        </is>
      </c>
      <c r="B132" s="6" t="inlineStr">
        <is>
          <t>主卫</t>
        </is>
      </c>
      <c r="C132" s="6" t="inlineStr">
        <is>
          <t>泥瓦</t>
        </is>
      </c>
      <c r="D132" s="7" t="inlineStr">
        <is>
          <t>找平/拉毛</t>
        </is>
      </c>
      <c r="E132" s="6" t="inlineStr">
        <is>
          <t>㎡</t>
        </is>
      </c>
      <c r="F132" s="8" t="n">
        <v>20</v>
      </c>
      <c r="G132" s="9" t="n">
        <v>30</v>
      </c>
      <c r="H132" s="9" t="n">
        <v>50</v>
      </c>
      <c r="I132" s="9">
        <f>ROUND(F132*G132,0)</f>
        <v/>
      </c>
      <c r="J132" s="10">
        <f>ROUND(F132*H132,0)</f>
        <v/>
      </c>
    </row>
    <row r="133">
      <c r="A133" s="6" t="inlineStr">
        <is>
          <t>F3 三层</t>
        </is>
      </c>
      <c r="B133" s="6" t="inlineStr">
        <is>
          <t>主卫</t>
        </is>
      </c>
      <c r="C133" s="6" t="inlineStr">
        <is>
          <t>泥瓦</t>
        </is>
      </c>
      <c r="D133" s="7" t="inlineStr">
        <is>
          <t>贴墙砖（人工）</t>
        </is>
      </c>
      <c r="E133" s="6" t="inlineStr">
        <is>
          <t>㎡</t>
        </is>
      </c>
      <c r="F133" s="8" t="n">
        <v>52</v>
      </c>
      <c r="G133" s="9" t="n">
        <v>45</v>
      </c>
      <c r="H133" s="9" t="n">
        <v>65</v>
      </c>
      <c r="I133" s="9">
        <f>ROUND(F133*G133,0)</f>
        <v/>
      </c>
      <c r="J133" s="10">
        <f>ROUND(F133*H133,0)</f>
        <v/>
      </c>
    </row>
    <row r="134">
      <c r="A134" s="6" t="inlineStr">
        <is>
          <t>F3 三层</t>
        </is>
      </c>
      <c r="B134" s="6" t="inlineStr">
        <is>
          <t>主卫</t>
        </is>
      </c>
      <c r="C134" s="6" t="inlineStr">
        <is>
          <t>泥瓦</t>
        </is>
      </c>
      <c r="D134" s="7" t="inlineStr">
        <is>
          <t>贴地砖（人工）</t>
        </is>
      </c>
      <c r="E134" s="6" t="inlineStr">
        <is>
          <t>㎡</t>
        </is>
      </c>
      <c r="F134" s="8" t="n">
        <v>16.9</v>
      </c>
      <c r="G134" s="9" t="n">
        <v>40</v>
      </c>
      <c r="H134" s="9" t="n">
        <v>60</v>
      </c>
      <c r="I134" s="9">
        <f>ROUND(F134*G134,0)</f>
        <v/>
      </c>
      <c r="J134" s="10">
        <f>ROUND(F134*H134,0)</f>
        <v/>
      </c>
    </row>
    <row r="135">
      <c r="A135" s="6" t="inlineStr">
        <is>
          <t>F3 三层</t>
        </is>
      </c>
      <c r="B135" s="6" t="inlineStr">
        <is>
          <t>主卫</t>
        </is>
      </c>
      <c r="C135" s="6" t="inlineStr">
        <is>
          <t>木工</t>
        </is>
      </c>
      <c r="D135" s="7" t="inlineStr">
        <is>
          <t>防水石膏板/铝扣板吊顶</t>
        </is>
      </c>
      <c r="E135" s="6" t="inlineStr">
        <is>
          <t>㎡</t>
        </is>
      </c>
      <c r="F135" s="8" t="n">
        <v>16.9</v>
      </c>
      <c r="G135" s="9" t="n">
        <v>120</v>
      </c>
      <c r="H135" s="9" t="n">
        <v>200</v>
      </c>
      <c r="I135" s="9">
        <f>ROUND(F135*G135,0)</f>
        <v/>
      </c>
      <c r="J135" s="10">
        <f>ROUND(F135*H135,0)</f>
        <v/>
      </c>
    </row>
    <row r="136">
      <c r="A136" s="6" t="inlineStr">
        <is>
          <t>F3 三层</t>
        </is>
      </c>
      <c r="B136" s="6" t="inlineStr">
        <is>
          <t>主卫</t>
        </is>
      </c>
      <c r="C136" s="6" t="inlineStr">
        <is>
          <t>主材安装</t>
        </is>
      </c>
      <c r="D136" s="7" t="inlineStr">
        <is>
          <t>墙地砖（材料）</t>
        </is>
      </c>
      <c r="E136" s="6" t="inlineStr">
        <is>
          <t>㎡</t>
        </is>
      </c>
      <c r="F136" s="8" t="n">
        <v>75</v>
      </c>
      <c r="G136" s="9" t="n">
        <v>90</v>
      </c>
      <c r="H136" s="9" t="n">
        <v>170</v>
      </c>
      <c r="I136" s="9">
        <f>ROUND(F136*G136,0)</f>
        <v/>
      </c>
      <c r="J136" s="10">
        <f>ROUND(F136*H136,0)</f>
        <v/>
      </c>
    </row>
    <row r="137">
      <c r="A137" s="6" t="inlineStr">
        <is>
          <t>F3 三层</t>
        </is>
      </c>
      <c r="B137" s="6" t="inlineStr">
        <is>
          <t>主卫</t>
        </is>
      </c>
      <c r="C137" s="6" t="inlineStr">
        <is>
          <t>主材安装</t>
        </is>
      </c>
      <c r="D137" s="7" t="inlineStr">
        <is>
          <t>原木双台盆浴室柜</t>
        </is>
      </c>
      <c r="E137" s="6" t="inlineStr">
        <is>
          <t>套</t>
        </is>
      </c>
      <c r="F137" s="8" t="n">
        <v>1</v>
      </c>
      <c r="G137" s="9" t="n">
        <v>1800</v>
      </c>
      <c r="H137" s="9" t="n">
        <v>4000</v>
      </c>
      <c r="I137" s="9">
        <f>ROUND(F137*G137,0)</f>
        <v/>
      </c>
      <c r="J137" s="10">
        <f>ROUND(F137*H137,0)</f>
        <v/>
      </c>
    </row>
    <row r="138">
      <c r="A138" s="6" t="inlineStr">
        <is>
          <t>F3 三层</t>
        </is>
      </c>
      <c r="B138" s="6" t="inlineStr">
        <is>
          <t>主卫</t>
        </is>
      </c>
      <c r="C138" s="6" t="inlineStr">
        <is>
          <t>主材安装</t>
        </is>
      </c>
      <c r="D138" s="7" t="inlineStr">
        <is>
          <t>坐便器</t>
        </is>
      </c>
      <c r="E138" s="6" t="inlineStr">
        <is>
          <t>套</t>
        </is>
      </c>
      <c r="F138" s="8" t="n">
        <v>1</v>
      </c>
      <c r="G138" s="9" t="n">
        <v>1500</v>
      </c>
      <c r="H138" s="9" t="n">
        <v>4000</v>
      </c>
      <c r="I138" s="9">
        <f>ROUND(F138*G138,0)</f>
        <v/>
      </c>
      <c r="J138" s="10">
        <f>ROUND(F138*H138,0)</f>
        <v/>
      </c>
    </row>
    <row r="139">
      <c r="A139" s="6" t="inlineStr">
        <is>
          <t>F3 三层</t>
        </is>
      </c>
      <c r="B139" s="6" t="inlineStr">
        <is>
          <t>主卫</t>
        </is>
      </c>
      <c r="C139" s="6" t="inlineStr">
        <is>
          <t>主材安装</t>
        </is>
      </c>
      <c r="D139" s="7" t="inlineStr">
        <is>
          <t>独立浴缸+龙头</t>
        </is>
      </c>
      <c r="E139" s="6" t="inlineStr">
        <is>
          <t>套</t>
        </is>
      </c>
      <c r="F139" s="8" t="n">
        <v>1</v>
      </c>
      <c r="G139" s="9" t="n">
        <v>4000</v>
      </c>
      <c r="H139" s="9" t="n">
        <v>12000</v>
      </c>
      <c r="I139" s="9">
        <f>ROUND(F139*G139,0)</f>
        <v/>
      </c>
      <c r="J139" s="10">
        <f>ROUND(F139*H139,0)</f>
        <v/>
      </c>
    </row>
    <row r="140">
      <c r="A140" s="6" t="inlineStr">
        <is>
          <t>F3 三层</t>
        </is>
      </c>
      <c r="B140" s="6" t="inlineStr">
        <is>
          <t>主卫</t>
        </is>
      </c>
      <c r="C140" s="6" t="inlineStr">
        <is>
          <t>主材安装</t>
        </is>
      </c>
      <c r="D140" s="7" t="inlineStr">
        <is>
          <t>淋浴花洒/玻璃隔断</t>
        </is>
      </c>
      <c r="E140" s="6" t="inlineStr">
        <is>
          <t>套</t>
        </is>
      </c>
      <c r="F140" s="8" t="n">
        <v>1</v>
      </c>
      <c r="G140" s="9" t="n">
        <v>1500</v>
      </c>
      <c r="H140" s="9" t="n">
        <v>4000</v>
      </c>
      <c r="I140" s="9">
        <f>ROUND(F140*G140,0)</f>
        <v/>
      </c>
      <c r="J140" s="10">
        <f>ROUND(F140*H140,0)</f>
        <v/>
      </c>
    </row>
    <row r="141">
      <c r="A141" s="6" t="inlineStr">
        <is>
          <t>F3 三层</t>
        </is>
      </c>
      <c r="B141" s="6" t="inlineStr">
        <is>
          <t>主卫</t>
        </is>
      </c>
      <c r="C141" s="6" t="inlineStr">
        <is>
          <t>主材安装</t>
        </is>
      </c>
      <c r="D141" s="7" t="inlineStr">
        <is>
          <t>五金挂件/地漏</t>
        </is>
      </c>
      <c r="E141" s="6" t="inlineStr">
        <is>
          <t>套</t>
        </is>
      </c>
      <c r="F141" s="8" t="n">
        <v>1</v>
      </c>
      <c r="G141" s="9" t="n">
        <v>800</v>
      </c>
      <c r="H141" s="9" t="n">
        <v>1800</v>
      </c>
      <c r="I141" s="9">
        <f>ROUND(F141*G141,0)</f>
        <v/>
      </c>
      <c r="J141" s="10">
        <f>ROUND(F141*H141,0)</f>
        <v/>
      </c>
    </row>
    <row r="142">
      <c r="A142" s="6" t="inlineStr">
        <is>
          <t>F3 三层</t>
        </is>
      </c>
      <c r="B142" s="6" t="inlineStr">
        <is>
          <t>主卫</t>
        </is>
      </c>
      <c r="C142" s="6" t="inlineStr">
        <is>
          <t>主材安装</t>
        </is>
      </c>
      <c r="D142" s="7" t="inlineStr">
        <is>
          <t>实木玻璃露台门（含安装）</t>
        </is>
      </c>
      <c r="E142" s="6" t="inlineStr">
        <is>
          <t>㎡</t>
        </is>
      </c>
      <c r="F142" s="8" t="n">
        <v>2.1</v>
      </c>
      <c r="G142" s="9" t="n">
        <v>900</v>
      </c>
      <c r="H142" s="9" t="n">
        <v>1600</v>
      </c>
      <c r="I142" s="9">
        <f>ROUND(F142*G142,0)</f>
        <v/>
      </c>
      <c r="J142" s="10">
        <f>ROUND(F142*H142,0)</f>
        <v/>
      </c>
    </row>
    <row r="143">
      <c r="A143" s="6" t="inlineStr">
        <is>
          <t>F3 三层</t>
        </is>
      </c>
      <c r="B143" s="6" t="inlineStr">
        <is>
          <t>露台</t>
        </is>
      </c>
      <c r="C143" s="6" t="inlineStr">
        <is>
          <t>泥瓦</t>
        </is>
      </c>
      <c r="D143" s="7" t="inlineStr">
        <is>
          <t>防水+排水（地面7.200）</t>
        </is>
      </c>
      <c r="E143" s="6" t="inlineStr">
        <is>
          <t>㎡</t>
        </is>
      </c>
      <c r="F143" s="8" t="n">
        <v>18.6</v>
      </c>
      <c r="G143" s="9" t="n">
        <v>80</v>
      </c>
      <c r="H143" s="9" t="n">
        <v>120</v>
      </c>
      <c r="I143" s="9">
        <f>ROUND(F143*G143,0)</f>
        <v/>
      </c>
      <c r="J143" s="10">
        <f>ROUND(F143*H143,0)</f>
        <v/>
      </c>
    </row>
    <row r="144">
      <c r="A144" s="6" t="inlineStr">
        <is>
          <t>F3 三层</t>
        </is>
      </c>
      <c r="B144" s="6" t="inlineStr">
        <is>
          <t>露台</t>
        </is>
      </c>
      <c r="C144" s="6" t="inlineStr">
        <is>
          <t>泥瓦</t>
        </is>
      </c>
      <c r="D144" s="7" t="inlineStr">
        <is>
          <t>铺地砖（人工）</t>
        </is>
      </c>
      <c r="E144" s="6" t="inlineStr">
        <is>
          <t>㎡</t>
        </is>
      </c>
      <c r="F144" s="8" t="n">
        <v>18.6</v>
      </c>
      <c r="G144" s="9" t="n">
        <v>55</v>
      </c>
      <c r="H144" s="9" t="n">
        <v>80</v>
      </c>
      <c r="I144" s="9">
        <f>ROUND(F144*G144,0)</f>
        <v/>
      </c>
      <c r="J144" s="10">
        <f>ROUND(F144*H144,0)</f>
        <v/>
      </c>
    </row>
    <row r="145">
      <c r="A145" s="6" t="inlineStr">
        <is>
          <t>F3 三层</t>
        </is>
      </c>
      <c r="B145" s="6" t="inlineStr">
        <is>
          <t>露台</t>
        </is>
      </c>
      <c r="C145" s="6" t="inlineStr">
        <is>
          <t>主材安装</t>
        </is>
      </c>
      <c r="D145" s="7" t="inlineStr">
        <is>
          <t>户外地砖/防腐木地板（材料）</t>
        </is>
      </c>
      <c r="E145" s="6" t="inlineStr">
        <is>
          <t>㎡</t>
        </is>
      </c>
      <c r="F145" s="8" t="n">
        <v>19.5</v>
      </c>
      <c r="G145" s="9" t="n">
        <v>100</v>
      </c>
      <c r="H145" s="9" t="n">
        <v>220</v>
      </c>
      <c r="I145" s="9">
        <f>ROUND(F145*G145,0)</f>
        <v/>
      </c>
      <c r="J145" s="10">
        <f>ROUND(F145*H145,0)</f>
        <v/>
      </c>
    </row>
    <row r="146">
      <c r="A146" s="6" t="inlineStr">
        <is>
          <t>F3 三层</t>
        </is>
      </c>
      <c r="B146" s="6" t="inlineStr">
        <is>
          <t>露台</t>
        </is>
      </c>
      <c r="C146" s="6" t="inlineStr">
        <is>
          <t>油漆</t>
        </is>
      </c>
      <c r="D146" s="7" t="inlineStr">
        <is>
          <t>女儿墙内侧外墙漆/真石漆</t>
        </is>
      </c>
      <c r="E146" s="6" t="inlineStr">
        <is>
          <t>㎡</t>
        </is>
      </c>
      <c r="F146" s="8" t="n">
        <v>25</v>
      </c>
      <c r="G146" s="9" t="n">
        <v>45</v>
      </c>
      <c r="H146" s="9" t="n">
        <v>80</v>
      </c>
      <c r="I146" s="9">
        <f>ROUND(F146*G146,0)</f>
        <v/>
      </c>
      <c r="J146" s="10">
        <f>ROUND(F146*H146,0)</f>
        <v/>
      </c>
    </row>
    <row r="147">
      <c r="A147" s="6" t="inlineStr">
        <is>
          <t>F3 三层</t>
        </is>
      </c>
      <c r="B147" s="6" t="inlineStr">
        <is>
          <t>露台</t>
        </is>
      </c>
      <c r="C147" s="6" t="inlineStr">
        <is>
          <t>主材安装</t>
        </is>
      </c>
      <c r="D147" s="7" t="inlineStr">
        <is>
          <t>户外家具/花池</t>
        </is>
      </c>
      <c r="E147" s="6" t="inlineStr">
        <is>
          <t>项</t>
        </is>
      </c>
      <c r="F147" s="8" t="n">
        <v>1</v>
      </c>
      <c r="G147" s="9" t="n">
        <v>1500</v>
      </c>
      <c r="H147" s="9" t="n">
        <v>4000</v>
      </c>
      <c r="I147" s="9">
        <f>ROUND(F147*G147,0)</f>
        <v/>
      </c>
      <c r="J147" s="10">
        <f>ROUND(F147*H147,0)</f>
        <v/>
      </c>
    </row>
    <row r="148">
      <c r="A148" s="4" t="inlineStr">
        <is>
          <t>▼ 全屋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6" t="inlineStr">
        <is>
          <t>全屋</t>
        </is>
      </c>
      <c r="B149" s="6" t="inlineStr">
        <is>
          <t>全屋</t>
        </is>
      </c>
      <c r="C149" s="6" t="inlineStr">
        <is>
          <t>主材安装</t>
        </is>
      </c>
      <c r="D149" s="7" t="inlineStr">
        <is>
          <t>开关插座面板+安装（约140个）</t>
        </is>
      </c>
      <c r="E149" s="6" t="inlineStr">
        <is>
          <t>个</t>
        </is>
      </c>
      <c r="F149" s="8" t="n">
        <v>140</v>
      </c>
      <c r="G149" s="9" t="n">
        <v>25</v>
      </c>
      <c r="H149" s="9" t="n">
        <v>55</v>
      </c>
      <c r="I149" s="9">
        <f>ROUND(F149*G149,0)</f>
        <v/>
      </c>
      <c r="J149" s="10">
        <f>ROUND(F149*H149,0)</f>
        <v/>
      </c>
    </row>
    <row r="150">
      <c r="A150" s="6" t="inlineStr">
        <is>
          <t>全屋</t>
        </is>
      </c>
      <c r="B150" s="6" t="inlineStr">
        <is>
          <t>全屋</t>
        </is>
      </c>
      <c r="C150" s="6" t="inlineStr">
        <is>
          <t>主材安装</t>
        </is>
      </c>
      <c r="D150" s="7" t="inlineStr">
        <is>
          <t>全屋灯具（原木风，含安装）</t>
        </is>
      </c>
      <c r="E150" s="6" t="inlineStr">
        <is>
          <t>项</t>
        </is>
      </c>
      <c r="F150" s="8" t="n">
        <v>1</v>
      </c>
      <c r="G150" s="9" t="n">
        <v>12000</v>
      </c>
      <c r="H150" s="9" t="n">
        <v>30000</v>
      </c>
      <c r="I150" s="9">
        <f>ROUND(F150*G150,0)</f>
        <v/>
      </c>
      <c r="J150" s="10">
        <f>ROUND(F150*H150,0)</f>
        <v/>
      </c>
    </row>
    <row r="151">
      <c r="A151" s="6" t="inlineStr">
        <is>
          <t>全屋</t>
        </is>
      </c>
      <c r="B151" s="6" t="inlineStr">
        <is>
          <t>全屋</t>
        </is>
      </c>
      <c r="C151" s="6" t="inlineStr">
        <is>
          <t>主材安装</t>
        </is>
      </c>
      <c r="D151" s="7" t="inlineStr">
        <is>
          <t>全屋窗帘（13窗，含轨道纱帘）</t>
        </is>
      </c>
      <c r="E151" s="6" t="inlineStr">
        <is>
          <t>项</t>
        </is>
      </c>
      <c r="F151" s="8" t="n">
        <v>1</v>
      </c>
      <c r="G151" s="9" t="n">
        <v>8000</v>
      </c>
      <c r="H151" s="9" t="n">
        <v>20000</v>
      </c>
      <c r="I151" s="9">
        <f>ROUND(F151*G151,0)</f>
        <v/>
      </c>
      <c r="J151" s="10">
        <f>ROUND(F151*H151,0)</f>
        <v/>
      </c>
    </row>
    <row r="152">
      <c r="A152" s="6" t="inlineStr">
        <is>
          <t>全屋</t>
        </is>
      </c>
      <c r="B152" s="6" t="inlineStr">
        <is>
          <t>全屋</t>
        </is>
      </c>
      <c r="C152" s="6" t="inlineStr">
        <is>
          <t>主材安装</t>
        </is>
      </c>
      <c r="D152" s="7" t="inlineStr">
        <is>
          <t>楼梯原木踏步板（含安装）</t>
        </is>
      </c>
      <c r="E152" s="6" t="inlineStr">
        <is>
          <t>踏</t>
        </is>
      </c>
      <c r="F152" s="8" t="n">
        <v>102</v>
      </c>
      <c r="G152" s="9" t="n">
        <v>250</v>
      </c>
      <c r="H152" s="9" t="n">
        <v>500</v>
      </c>
      <c r="I152" s="9">
        <f>ROUND(F152*G152,0)</f>
        <v/>
      </c>
      <c r="J152" s="10">
        <f>ROUND(F152*H152,0)</f>
        <v/>
      </c>
    </row>
    <row r="153">
      <c r="A153" s="6" t="inlineStr">
        <is>
          <t>全屋</t>
        </is>
      </c>
      <c r="B153" s="6" t="inlineStr">
        <is>
          <t>全屋</t>
        </is>
      </c>
      <c r="C153" s="6" t="inlineStr">
        <is>
          <t>主材安装</t>
        </is>
      </c>
      <c r="D153" s="7" t="inlineStr">
        <is>
          <t>楼梯木扶手（含安装）</t>
        </is>
      </c>
      <c r="E153" s="6" t="inlineStr">
        <is>
          <t>m</t>
        </is>
      </c>
      <c r="F153" s="8" t="n">
        <v>37</v>
      </c>
      <c r="G153" s="9" t="n">
        <v>180</v>
      </c>
      <c r="H153" s="9" t="n">
        <v>380</v>
      </c>
      <c r="I153" s="9">
        <f>ROUND(F153*G153,0)</f>
        <v/>
      </c>
      <c r="J153" s="10">
        <f>ROUND(F153*H153,0)</f>
        <v/>
      </c>
    </row>
    <row r="154">
      <c r="A154" s="6" t="inlineStr">
        <is>
          <t>全屋</t>
        </is>
      </c>
      <c r="B154" s="6" t="inlineStr">
        <is>
          <t>全屋</t>
        </is>
      </c>
      <c r="C154" s="6" t="inlineStr">
        <is>
          <t>其他</t>
        </is>
      </c>
      <c r="D154" s="7" t="inlineStr">
        <is>
          <t>设计费</t>
        </is>
      </c>
      <c r="E154" s="6" t="inlineStr">
        <is>
          <t>㎡</t>
        </is>
      </c>
      <c r="F154" s="8" t="n">
        <v>232</v>
      </c>
      <c r="G154" s="9" t="n">
        <v>80</v>
      </c>
      <c r="H154" s="9" t="n">
        <v>150</v>
      </c>
      <c r="I154" s="9">
        <f>ROUND(F154*G154,0)</f>
        <v/>
      </c>
      <c r="J154" s="10">
        <f>ROUND(F154*H154,0)</f>
        <v/>
      </c>
    </row>
    <row r="155">
      <c r="A155" s="6" t="inlineStr">
        <is>
          <t>全屋</t>
        </is>
      </c>
      <c r="B155" s="6" t="inlineStr">
        <is>
          <t>全屋</t>
        </is>
      </c>
      <c r="C155" s="6" t="inlineStr">
        <is>
          <t>其他</t>
        </is>
      </c>
      <c r="D155" s="7" t="inlineStr">
        <is>
          <t>垃圾清运（全屋）</t>
        </is>
      </c>
      <c r="E155" s="6" t="inlineStr">
        <is>
          <t>项</t>
        </is>
      </c>
      <c r="F155" s="8" t="n">
        <v>1</v>
      </c>
      <c r="G155" s="9" t="n">
        <v>3000</v>
      </c>
      <c r="H155" s="9" t="n">
        <v>6000</v>
      </c>
      <c r="I155" s="9">
        <f>ROUND(F155*G155,0)</f>
        <v/>
      </c>
      <c r="J155" s="10">
        <f>ROUND(F155*H155,0)</f>
        <v/>
      </c>
    </row>
    <row r="156">
      <c r="A156" s="6" t="inlineStr">
        <is>
          <t>全屋</t>
        </is>
      </c>
      <c r="B156" s="6" t="inlineStr">
        <is>
          <t>全屋</t>
        </is>
      </c>
      <c r="C156" s="6" t="inlineStr">
        <is>
          <t>其他</t>
        </is>
      </c>
      <c r="D156" s="7" t="inlineStr">
        <is>
          <t>开荒保洁</t>
        </is>
      </c>
      <c r="E156" s="6" t="inlineStr">
        <is>
          <t>㎡</t>
        </is>
      </c>
      <c r="F156" s="8" t="n">
        <v>232</v>
      </c>
      <c r="G156" s="9" t="n">
        <v>8</v>
      </c>
      <c r="H156" s="9" t="n">
        <v>15</v>
      </c>
      <c r="I156" s="9">
        <f>ROUND(F156*G156,0)</f>
        <v/>
      </c>
      <c r="J156" s="10">
        <f>ROUND(F156*H156,0)</f>
        <v/>
      </c>
    </row>
    <row r="157">
      <c r="A157" s="6" t="inlineStr">
        <is>
          <t>全屋</t>
        </is>
      </c>
      <c r="B157" s="6" t="inlineStr">
        <is>
          <t>全屋</t>
        </is>
      </c>
      <c r="C157" s="6" t="inlineStr">
        <is>
          <t>其他</t>
        </is>
      </c>
      <c r="D157" s="7" t="inlineStr">
        <is>
          <t>成品保护/材料搬运</t>
        </is>
      </c>
      <c r="E157" s="6" t="inlineStr">
        <is>
          <t>项</t>
        </is>
      </c>
      <c r="F157" s="8" t="n">
        <v>1</v>
      </c>
      <c r="G157" s="9" t="n">
        <v>3000</v>
      </c>
      <c r="H157" s="9" t="n">
        <v>7000</v>
      </c>
      <c r="I157" s="9">
        <f>ROUND(F157*G157,0)</f>
        <v/>
      </c>
      <c r="J157" s="10">
        <f>ROUND(F157*H157,0)</f>
        <v/>
      </c>
    </row>
    <row r="158">
      <c r="A158" s="11" t="inlineStr">
        <is>
          <t>全屋合计（不含暂列金；不含项见“说明”表）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3">
        <f>SUM(I4:I157)</f>
        <v/>
      </c>
      <c r="J158" s="13">
        <f>SUM(J4:J157)</f>
        <v/>
      </c>
      <c r="K158" s="12" t="n"/>
    </row>
    <row r="159">
      <c r="A159" s="8" t="inlineStr">
        <is>
          <t>不可预见费（暂列金，按合计 8%–10%）</t>
        </is>
      </c>
      <c r="B159" s="5" t="n"/>
      <c r="C159" s="5" t="n"/>
      <c r="D159" s="5" t="n"/>
      <c r="E159" s="5" t="n"/>
      <c r="F159" s="5" t="n"/>
      <c r="G159" s="5" t="n"/>
      <c r="H159" s="5" t="n"/>
      <c r="I159" s="9">
        <f>ROUND(I158*0.08,0)</f>
        <v/>
      </c>
      <c r="J159" s="9">
        <f>ROUND(J158*0.1,0)</f>
        <v/>
      </c>
      <c r="K159" s="5" t="n"/>
    </row>
    <row r="160">
      <c r="A160" s="14" t="inlineStr">
        <is>
          <t>预计总投入区间（含暂列金）</t>
        </is>
      </c>
      <c r="B160" s="15" t="n"/>
      <c r="C160" s="15" t="n"/>
      <c r="D160" s="15" t="n"/>
      <c r="E160" s="15" t="n"/>
      <c r="F160" s="15" t="n"/>
      <c r="G160" s="15" t="n"/>
      <c r="H160" s="15" t="n"/>
      <c r="I160" s="16">
        <f>I158+I159</f>
        <v/>
      </c>
      <c r="J160" s="16">
        <f>J158+J159</f>
        <v/>
      </c>
      <c r="K160" s="15" t="n"/>
    </row>
  </sheetData>
  <mergeCells count="10">
    <mergeCell ref="A4:K4"/>
    <mergeCell ref="A20:K20"/>
    <mergeCell ref="A148:K148"/>
    <mergeCell ref="A160:H160"/>
    <mergeCell ref="A2:K2"/>
    <mergeCell ref="A63:K63"/>
    <mergeCell ref="A121:K121"/>
    <mergeCell ref="A158:H158"/>
    <mergeCell ref="A1:K1"/>
    <mergeCell ref="A159:H1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5" customWidth="1" min="4" max="4"/>
  </cols>
  <sheetData>
    <row r="1" ht="28" customHeight="1">
      <c r="A1" s="1" t="inlineStr">
        <is>
          <t>预算汇总（数据自动取自“预算总表”）</t>
        </is>
      </c>
    </row>
    <row r="3">
      <c r="A3" s="3" t="inlineStr">
        <is>
          <t>楼层</t>
        </is>
      </c>
      <c r="B3" s="3" t="inlineStr">
        <is>
          <t>合价低(元)</t>
        </is>
      </c>
      <c r="C3" s="3" t="inlineStr">
        <is>
          <t>合价高(元)</t>
        </is>
      </c>
      <c r="D3" s="3" t="inlineStr">
        <is>
          <t>占比(按中值)</t>
        </is>
      </c>
    </row>
    <row r="4">
      <c r="A4" s="7" t="inlineStr">
        <is>
          <t>B1 车库层</t>
        </is>
      </c>
      <c r="B4" s="9">
        <f>SUMIF('预算总表'!A:A,A4,'预算总表'!I:I)</f>
        <v/>
      </c>
      <c r="C4" s="9">
        <f>SUMIF('预算总表'!A:A,A4,'预算总表'!J:J)</f>
        <v/>
      </c>
      <c r="D4" s="17">
        <f>IFERROR((B4+C4)/(B$9+C$9),0)</f>
        <v/>
      </c>
    </row>
    <row r="5">
      <c r="A5" s="7" t="inlineStr">
        <is>
          <t>F1 一层</t>
        </is>
      </c>
      <c r="B5" s="9">
        <f>SUMIF('预算总表'!A:A,A5,'预算总表'!I:I)</f>
        <v/>
      </c>
      <c r="C5" s="9">
        <f>SUMIF('预算总表'!A:A,A5,'预算总表'!J:J)</f>
        <v/>
      </c>
      <c r="D5" s="17">
        <f>IFERROR((B5+C5)/(B$9+C$9),0)</f>
        <v/>
      </c>
    </row>
    <row r="6">
      <c r="A6" s="7" t="inlineStr">
        <is>
          <t>F2 二层</t>
        </is>
      </c>
      <c r="B6" s="9">
        <f>SUMIF('预算总表'!A:A,A6,'预算总表'!I:I)</f>
        <v/>
      </c>
      <c r="C6" s="9">
        <f>SUMIF('预算总表'!A:A,A6,'预算总表'!J:J)</f>
        <v/>
      </c>
      <c r="D6" s="17">
        <f>IFERROR((B6+C6)/(B$9+C$9),0)</f>
        <v/>
      </c>
    </row>
    <row r="7">
      <c r="A7" s="7" t="inlineStr">
        <is>
          <t>F3 三层</t>
        </is>
      </c>
      <c r="B7" s="9">
        <f>SUMIF('预算总表'!A:A,A7,'预算总表'!I:I)</f>
        <v/>
      </c>
      <c r="C7" s="9">
        <f>SUMIF('预算总表'!A:A,A7,'预算总表'!J:J)</f>
        <v/>
      </c>
      <c r="D7" s="17">
        <f>IFERROR((B7+C7)/(B$9+C$9),0)</f>
        <v/>
      </c>
    </row>
    <row r="8">
      <c r="A8" s="7" t="inlineStr">
        <is>
          <t>全屋</t>
        </is>
      </c>
      <c r="B8" s="9">
        <f>SUMIF('预算总表'!A:A,A8,'预算总表'!I:I)</f>
        <v/>
      </c>
      <c r="C8" s="9">
        <f>SUMIF('预算总表'!A:A,A8,'预算总表'!J:J)</f>
        <v/>
      </c>
      <c r="D8" s="17">
        <f>IFERROR((B8+C8)/(B$9+C$9),0)</f>
        <v/>
      </c>
    </row>
    <row r="9">
      <c r="A9" s="18" t="inlineStr">
        <is>
          <t>合计</t>
        </is>
      </c>
      <c r="B9" s="13">
        <f>SUM(B4:B8)</f>
        <v/>
      </c>
      <c r="C9" s="13">
        <f>SUM(C4:C8)</f>
        <v/>
      </c>
      <c r="D9" s="12" t="n"/>
    </row>
    <row r="11">
      <c r="A11" s="3" t="inlineStr">
        <is>
          <t>科目</t>
        </is>
      </c>
      <c r="B11" s="3" t="inlineStr">
        <is>
          <t>合价低(元)</t>
        </is>
      </c>
      <c r="C11" s="3" t="inlineStr">
        <is>
          <t>合价高(元)</t>
        </is>
      </c>
      <c r="D11" s="3" t="inlineStr">
        <is>
          <t>占比(按中值)</t>
        </is>
      </c>
    </row>
    <row r="12">
      <c r="A12" s="7" t="inlineStr">
        <is>
          <t>拆改</t>
        </is>
      </c>
      <c r="B12" s="9">
        <f>SUMIF('预算总表'!C:C,A12,'预算总表'!I:I)</f>
        <v/>
      </c>
      <c r="C12" s="9">
        <f>SUMIF('预算总表'!C:C,A12,'预算总表'!J:J)</f>
        <v/>
      </c>
      <c r="D12" s="17">
        <f>IFERROR((B12+C12)/(B$19+C$19),0)</f>
        <v/>
      </c>
    </row>
    <row r="13">
      <c r="A13" s="7" t="inlineStr">
        <is>
          <t>水电</t>
        </is>
      </c>
      <c r="B13" s="9">
        <f>SUMIF('预算总表'!C:C,A13,'预算总表'!I:I)</f>
        <v/>
      </c>
      <c r="C13" s="9">
        <f>SUMIF('预算总表'!C:C,A13,'预算总表'!J:J)</f>
        <v/>
      </c>
      <c r="D13" s="17">
        <f>IFERROR((B13+C13)/(B$19+C$19),0)</f>
        <v/>
      </c>
    </row>
    <row r="14">
      <c r="A14" s="7" t="inlineStr">
        <is>
          <t>泥瓦</t>
        </is>
      </c>
      <c r="B14" s="9">
        <f>SUMIF('预算总表'!C:C,A14,'预算总表'!I:I)</f>
        <v/>
      </c>
      <c r="C14" s="9">
        <f>SUMIF('预算总表'!C:C,A14,'预算总表'!J:J)</f>
        <v/>
      </c>
      <c r="D14" s="17">
        <f>IFERROR((B14+C14)/(B$19+C$19),0)</f>
        <v/>
      </c>
    </row>
    <row r="15">
      <c r="A15" s="7" t="inlineStr">
        <is>
          <t>木工</t>
        </is>
      </c>
      <c r="B15" s="9">
        <f>SUMIF('预算总表'!C:C,A15,'预算总表'!I:I)</f>
        <v/>
      </c>
      <c r="C15" s="9">
        <f>SUMIF('预算总表'!C:C,A15,'预算总表'!J:J)</f>
        <v/>
      </c>
      <c r="D15" s="17">
        <f>IFERROR((B15+C15)/(B$19+C$19),0)</f>
        <v/>
      </c>
    </row>
    <row r="16">
      <c r="A16" s="7" t="inlineStr">
        <is>
          <t>油漆</t>
        </is>
      </c>
      <c r="B16" s="9">
        <f>SUMIF('预算总表'!C:C,A16,'预算总表'!I:I)</f>
        <v/>
      </c>
      <c r="C16" s="9">
        <f>SUMIF('预算总表'!C:C,A16,'预算总表'!J:J)</f>
        <v/>
      </c>
      <c r="D16" s="17">
        <f>IFERROR((B16+C16)/(B$19+C$19),0)</f>
        <v/>
      </c>
    </row>
    <row r="17">
      <c r="A17" s="7" t="inlineStr">
        <is>
          <t>主材安装</t>
        </is>
      </c>
      <c r="B17" s="9">
        <f>SUMIF('预算总表'!C:C,A17,'预算总表'!I:I)</f>
        <v/>
      </c>
      <c r="C17" s="9">
        <f>SUMIF('预算总表'!C:C,A17,'预算总表'!J:J)</f>
        <v/>
      </c>
      <c r="D17" s="17">
        <f>IFERROR((B17+C17)/(B$19+C$19),0)</f>
        <v/>
      </c>
    </row>
    <row r="18">
      <c r="A18" s="7" t="inlineStr">
        <is>
          <t>其他</t>
        </is>
      </c>
      <c r="B18" s="9">
        <f>SUMIF('预算总表'!C:C,A18,'预算总表'!I:I)</f>
        <v/>
      </c>
      <c r="C18" s="9">
        <f>SUMIF('预算总表'!C:C,A18,'预算总表'!J:J)</f>
        <v/>
      </c>
      <c r="D18" s="17">
        <f>IFERROR((B18+C18)/(B$19+C$19),0)</f>
        <v/>
      </c>
    </row>
    <row r="19">
      <c r="A19" s="18" t="inlineStr">
        <is>
          <t>合计</t>
        </is>
      </c>
      <c r="B19" s="13">
        <f>SUM(B12:B18)</f>
        <v/>
      </c>
      <c r="C19" s="13">
        <f>SUM(C12:C18)</f>
        <v/>
      </c>
      <c r="D19" s="12" t="n"/>
    </row>
    <row r="21">
      <c r="A21" s="3" t="inlineStr">
        <is>
          <t>项目</t>
        </is>
      </c>
      <c r="B21" s="3" t="inlineStr">
        <is>
          <t>金额低(元)</t>
        </is>
      </c>
      <c r="C21" s="3" t="inlineStr">
        <is>
          <t>金额高(元)</t>
        </is>
      </c>
      <c r="D21" s="3" t="inlineStr">
        <is>
          <t>折合每㎡(元)</t>
        </is>
      </c>
    </row>
    <row r="22">
      <c r="A22" s="7" t="inlineStr">
        <is>
          <t>基装合计（拆改/水电/泥瓦/木工/油漆/其他）</t>
        </is>
      </c>
      <c r="B22" s="9">
        <f>SUM(B12:B16)+B18</f>
        <v/>
      </c>
      <c r="C22" s="9">
        <f>SUM(C12:C16)+C18</f>
        <v/>
      </c>
      <c r="D22" s="9">
        <f>ROUND((B22+C22)/2/232,0)</f>
        <v/>
      </c>
    </row>
    <row r="23">
      <c r="A23" s="7" t="inlineStr">
        <is>
          <t>主材合计（主材安装）</t>
        </is>
      </c>
      <c r="B23" s="9">
        <f>B17</f>
        <v/>
      </c>
      <c r="C23" s="9">
        <f>C17</f>
        <v/>
      </c>
      <c r="D23" s="9">
        <f>ROUND((B23+C23)/2/232,0)</f>
        <v/>
      </c>
    </row>
    <row r="24">
      <c r="A24" s="7" t="inlineStr">
        <is>
          <t>工程合计</t>
        </is>
      </c>
      <c r="B24" s="9">
        <f>'预算总表'!I158</f>
        <v/>
      </c>
      <c r="C24" s="9">
        <f>'预算总表'!J158</f>
        <v/>
      </c>
      <c r="D24" s="9">
        <f>ROUND((B24+C24)/2/232,0)</f>
        <v/>
      </c>
    </row>
    <row r="25">
      <c r="A25" s="7" t="inlineStr">
        <is>
          <t>暂列金（8%–10%）</t>
        </is>
      </c>
      <c r="B25" s="9">
        <f>'预算总表'!I159</f>
        <v/>
      </c>
      <c r="C25" s="9">
        <f>'预算总表'!J159</f>
        <v/>
      </c>
      <c r="D25" s="9">
        <f>ROUND((B25+C25)/2/232,0)</f>
        <v/>
      </c>
    </row>
    <row r="26">
      <c r="A26" s="19" t="inlineStr">
        <is>
          <t>预计总投入区间</t>
        </is>
      </c>
      <c r="B26" s="16">
        <f>'预算总表'!I160</f>
        <v/>
      </c>
      <c r="C26" s="16">
        <f>'预算总表'!J160</f>
        <v/>
      </c>
      <c r="D26" s="20">
        <f>ROUND((B26+C26)/2/232,0)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21" t="inlineStr">
        <is>
          <t>预算编制说明</t>
        </is>
      </c>
    </row>
    <row r="2" ht="22" customHeight="1">
      <c r="A2" s="22" t="inlineStr">
        <is>
          <t>一、编制依据</t>
        </is>
      </c>
    </row>
    <row r="3">
      <c r="A3" s="23" t="inlineStr">
        <is>
          <t>1. 依据设计师施工图：别墅一层平面图、二层平面图、1-1剖面图（图签 L29# 1-1剖面图 1:200）。</t>
        </is>
      </c>
    </row>
    <row r="4">
      <c r="A4" s="23" t="inlineStr">
        <is>
          <t>2. 风格口径：原木风（多层实木地板、原木/实木复合橱柜与定制柜、实木复合门、木饰面），中档定位。</t>
        </is>
      </c>
    </row>
    <row r="5">
      <c r="A5" s="23" t="inlineStr">
        <is>
          <t>3. 价格口径：2026年9月河北保定市场参考区间，人工参考土巴兔保定价格指南及2026年工程人公开报价，</t>
        </is>
      </c>
    </row>
    <row r="6">
      <c r="A6" s="23" t="inlineStr">
        <is>
          <t xml:space="preserve">   主材参考土巴兔2026地板价格指南、淘宝/1688在售材料价；仅作预算参考，正式签约前请至少取得3家报价。</t>
        </is>
      </c>
    </row>
    <row r="7" ht="22" customHeight="1">
      <c r="A7" s="22" t="inlineStr">
        <is>
          <t>二、工程量口径</t>
        </is>
      </c>
    </row>
    <row r="8">
      <c r="A8" s="23" t="inlineStr">
        <is>
          <t>1. 原始平面图未标注数字尺寸链，房间尺寸按剖面图轴网（4500+3000+3300=10800mm）反推，精度约±100mm。</t>
        </is>
      </c>
    </row>
    <row r="9">
      <c r="A9" s="23" t="inlineStr">
        <is>
          <t>2. 面积为房间净面积；地板、瓷砖工程量已含约5%损耗；墙面面积按周长×层高并扣除门窗洞口估算。</t>
        </is>
      </c>
    </row>
    <row r="10">
      <c r="A10" s="23" t="inlineStr">
        <is>
          <t>3. B1车库层（-6.000）为通高空间，顶板即一层±0.000地面，墙顶面按通高约5.8m计；若后期加设夹层，费用另计。</t>
        </is>
      </c>
    </row>
    <row r="11">
      <c r="A11" s="23" t="inlineStr">
        <is>
          <t>4. F3三层布局（主卧/主卫/露台）系按1-1剖面图推断；露台地面标高7.200，女儿墙呈7.6/8.0/8.6阶梯状。</t>
        </is>
      </c>
    </row>
    <row r="12">
      <c r="A12" s="23" t="inlineStr">
        <is>
          <t>5. 车库北侧下沉通道及坡道为示意做法（图纸未画车行路径），坡道与挡墙土建费用未包含在本预算内。</t>
        </is>
      </c>
    </row>
    <row r="13" ht="22" customHeight="1">
      <c r="A13" s="22" t="inlineStr">
        <is>
          <t>三、不含项目（需另行采购/报价）</t>
        </is>
      </c>
    </row>
    <row r="14">
      <c r="A14" s="23" t="inlineStr">
        <is>
          <t>1. 家用电梯设备采购与安装（井道已在北侧预留，约1.27×1.27m，设备价格以厂家报价为准）。</t>
        </is>
      </c>
    </row>
    <row r="15">
      <c r="A15" s="23" t="inlineStr">
        <is>
          <t>2. 外门窗更换（默认沿用开发商原配窗；如需换系统窗另行计价）。</t>
        </is>
      </c>
    </row>
    <row r="16">
      <c r="A16" s="23" t="inlineStr">
        <is>
          <t>3. 外墙土建改造、下沉庭院/坡道挡墙等土建工程。</t>
        </is>
      </c>
    </row>
    <row r="17">
      <c r="A17" s="23" t="inlineStr">
        <is>
          <t>4. 大家电：冰箱、电视、洗衣机、空调/中央空调、新风、净水、热水器等（烟机灶具已列入，也可转家电采购）。</t>
        </is>
      </c>
    </row>
    <row r="18">
      <c r="A18" s="23" t="inlineStr">
        <is>
          <t>5. 活动家具（沙发、餐桌椅、床、床垫）、床品布艺、装饰摆件等软装。</t>
        </is>
      </c>
    </row>
    <row r="19">
      <c r="A19" s="23" t="inlineStr">
        <is>
          <t>6. 采暖系统（地暖/暖气片）及燃气相关工程。</t>
        </is>
      </c>
    </row>
    <row r="20" ht="22" customHeight="1">
      <c r="A20" s="22" t="inlineStr">
        <is>
          <t>四、使用建议</t>
        </is>
      </c>
    </row>
    <row r="21">
      <c r="A21" s="23" t="inlineStr">
        <is>
          <t>1. 建议另留工程合计8%–10%不可预见费（表中已单列），老房/别墅隐蔽工程变数较多。</t>
        </is>
      </c>
    </row>
    <row r="22">
      <c r="A22" s="23" t="inlineStr">
        <is>
          <t>2. 水电按实际米数/点位结算，封槽前现场计量并拍照留档；防水做完做48小时闭水试验。</t>
        </is>
      </c>
    </row>
    <row r="23">
      <c r="A23" s="23" t="inlineStr">
        <is>
          <t>3. 付款按节点（开工/水电/泥木/油漆/竣工）分期，尾款建议留5%左右、验收合格后结清。</t>
        </is>
      </c>
    </row>
    <row r="24">
      <c r="A24" s="23" t="inlineStr">
        <is>
          <t>4. 原木风注意木材含水率与环保等级（建议ENF/E0级），保定冬季干燥供暖，实木类需预留伸缩缝。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2026-09-22T03:17:41Z</dcterms:created>
  <dcterms:modified xmlns:dcterms="http://purl.org/dc/terms/" xmlns:xsi="http://www.w3.org/2001/XMLSchema-instance" xsi:type="dcterms:W3CDTF">2026-09-22T03:17:41Z</dcterms:modified>
</cp:coreProperties>
</file>